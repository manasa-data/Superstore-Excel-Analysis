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e7ddcb562789d29f/Desktop/Project Docs/1 Project/"/>
    </mc:Choice>
  </mc:AlternateContent>
  <xr:revisionPtr revIDLastSave="540" documentId="8_{A9F35C3F-28EA-4689-A38B-77F822559A87}" xr6:coauthVersionLast="47" xr6:coauthVersionMax="47" xr10:uidLastSave="{37B0D106-88BC-4FD3-8E2C-28D669A2F9E9}"/>
  <bookViews>
    <workbookView xWindow="-108" yWindow="-108" windowWidth="23256" windowHeight="12456" firstSheet="5" activeTab="8" xr2:uid="{B761AE78-0B55-4711-A715-A3316CE5CF5B}"/>
  </bookViews>
  <sheets>
    <sheet name="PT Region" sheetId="2" r:id="rId1"/>
    <sheet name="PT Category" sheetId="3" r:id="rId2"/>
    <sheet name="PT Segment" sheetId="4" r:id="rId3"/>
    <sheet name="PT Monthly Trends" sheetId="5" r:id="rId4"/>
    <sheet name="PT ShipMode" sheetId="6" r:id="rId5"/>
    <sheet name="Top10 Customers" sheetId="7" r:id="rId6"/>
    <sheet name="Dashboard" sheetId="8" r:id="rId7"/>
    <sheet name="Insights" sheetId="10" r:id="rId8"/>
    <sheet name="SuperstoreSALES" sheetId="1" r:id="rId9"/>
  </sheets>
  <definedNames>
    <definedName name="Slicer_Category">#N/A</definedName>
    <definedName name="Slicer_Order_Year">#N/A</definedName>
    <definedName name="Slicer_Region">#N/A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5" i="8" l="1"/>
  <c r="W3" i="8"/>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2" i="1"/>
  <c r="W2" i="8"/>
  <c r="W4" i="8" l="1"/>
</calcChain>
</file>

<file path=xl/sharedStrings.xml><?xml version="1.0" encoding="utf-8"?>
<sst xmlns="http://schemas.openxmlformats.org/spreadsheetml/2006/main" count="6586" uniqueCount="1747">
  <si>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</si>
  <si>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</si>
  <si>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</si>
  <si>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</si>
  <si>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</si>
  <si>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</si>
  <si>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</si>
  <si>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</si>
  <si>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</si>
  <si>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</si>
  <si>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</si>
  <si>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</si>
  <si>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</si>
  <si>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</si>
  <si>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</si>
  <si>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</si>
  <si>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</si>
  <si>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</si>
  <si>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</si>
  <si>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</si>
  <si>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</si>
  <si>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</si>
  <si>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</si>
  <si>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</si>
  <si>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</si>
  <si>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</si>
  <si>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</si>
  <si>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</si>
  <si>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</si>
  <si>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</si>
  <si>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</si>
  <si>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</si>
  <si>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</si>
  <si>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</si>
  <si>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</si>
  <si>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</si>
  <si>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</si>
  <si>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</si>
  <si>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</si>
  <si>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</si>
  <si>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</si>
  <si>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</si>
  <si>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</si>
  <si>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</si>
  <si>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</si>
  <si>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</si>
  <si>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</si>
  <si>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</si>
  <si>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</si>
  <si>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</si>
  <si>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</si>
  <si>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</si>
  <si>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</si>
  <si>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</si>
  <si>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</si>
  <si>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</si>
  <si>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</si>
  <si>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</si>
  <si>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</si>
  <si>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</si>
  <si>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</si>
  <si>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</si>
  <si>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</si>
  <si>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</si>
  <si>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</si>
  <si>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</si>
  <si>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</si>
  <si>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</si>
  <si>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</si>
  <si>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</si>
  <si>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</si>
  <si>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</si>
  <si>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</si>
  <si>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</si>
  <si>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</si>
  <si>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</si>
  <si>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</si>
  <si>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</si>
  <si>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</si>
  <si>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</si>
  <si>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</si>
  <si>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</si>
  <si>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</si>
  <si>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</si>
  <si>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</si>
  <si>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</si>
  <si>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</si>
  <si>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</si>
  <si>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</si>
  <si>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</si>
  <si>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</si>
  <si>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</si>
  <si>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</si>
  <si>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</si>
  <si>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</si>
  <si>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</si>
  <si>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</si>
  <si>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</si>
  <si>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</si>
  <si>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</si>
  <si>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</si>
  <si>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</si>
  <si>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</si>
  <si>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</si>
  <si>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</si>
  <si>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</si>
  <si>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</si>
  <si>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</si>
  <si>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</si>
  <si>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</si>
  <si>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</si>
  <si>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</si>
  <si>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</si>
  <si>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</si>
  <si>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</si>
  <si>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</si>
  <si>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</si>
  <si>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</si>
  <si>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</si>
  <si>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</si>
  <si>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</si>
  <si>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</si>
  <si>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</si>
  <si>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</si>
  <si>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</si>
  <si>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</si>
  <si>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</si>
  <si>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</si>
  <si>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</si>
  <si>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</si>
  <si>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</si>
  <si>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</si>
  <si>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</si>
  <si>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</si>
  <si>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</si>
  <si>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</si>
  <si>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</si>
  <si>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</si>
  <si>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</si>
  <si>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</si>
  <si>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</si>
  <si>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</si>
  <si>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</si>
  <si>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</si>
  <si>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</si>
  <si>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</si>
  <si>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</si>
  <si>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</si>
  <si>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</si>
  <si>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</si>
  <si>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</si>
  <si>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</si>
  <si>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</si>
  <si>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</si>
  <si>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</si>
  <si>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</si>
  <si>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</si>
  <si>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</si>
  <si>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</si>
  <si>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</si>
  <si>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</si>
  <si>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</si>
  <si>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</si>
  <si>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</si>
  <si>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</si>
  <si>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</si>
  <si>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</si>
  <si>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</si>
  <si>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</si>
  <si>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</si>
  <si>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</si>
  <si>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</si>
  <si>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</si>
  <si>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</si>
  <si>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</si>
  <si>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</si>
  <si>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</si>
  <si>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</si>
  <si>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</si>
  <si>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</si>
  <si>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</si>
  <si>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</si>
  <si>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</si>
  <si>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</si>
  <si>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</si>
  <si>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</si>
  <si>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</si>
  <si>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</si>
  <si>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</si>
  <si>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</si>
  <si>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</si>
  <si>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</si>
  <si>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</si>
  <si>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</si>
  <si>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</si>
  <si>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</si>
  <si>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</si>
  <si>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</si>
  <si>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</si>
  <si>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</si>
  <si>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</si>
  <si>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</si>
  <si>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</si>
  <si>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</si>
  <si>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</si>
  <si>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</si>
  <si>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</si>
  <si>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</si>
  <si>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</si>
  <si>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</si>
  <si>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</si>
  <si>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</si>
  <si>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</si>
  <si>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</si>
  <si>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</si>
  <si>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</si>
  <si>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</si>
  <si>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</si>
  <si>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</si>
  <si>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</si>
  <si>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</si>
  <si>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</si>
  <si>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</si>
  <si>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</si>
  <si>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</si>
  <si>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</si>
  <si>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</si>
  <si>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</si>
  <si>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</si>
  <si>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</si>
  <si>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</si>
  <si>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</si>
  <si>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</si>
  <si>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</si>
  <si>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</si>
  <si>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</si>
  <si>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</si>
  <si>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</si>
  <si>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</si>
  <si>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</si>
  <si>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</si>
  <si>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</si>
  <si>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</si>
  <si>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</si>
  <si>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</si>
  <si>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</si>
  <si>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</si>
  <si>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</si>
  <si>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</si>
  <si>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</si>
  <si>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</si>
  <si>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</si>
  <si>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</si>
  <si>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</si>
  <si>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</si>
  <si>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</si>
  <si>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</si>
  <si>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</si>
  <si>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</si>
  <si>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</si>
  <si>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</si>
  <si>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</si>
  <si>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</si>
  <si>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</si>
  <si>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</si>
  <si>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</si>
  <si>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</si>
  <si>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</si>
  <si>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</si>
  <si>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</si>
  <si>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</si>
  <si>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</si>
  <si>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</si>
  <si>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</si>
  <si>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</si>
  <si>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</si>
  <si>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</si>
  <si>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</si>
  <si>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</si>
  <si>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</si>
  <si>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</si>
  <si>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</si>
  <si>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</si>
  <si>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</si>
  <si>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</si>
  <si>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</si>
  <si>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</si>
  <si>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</si>
  <si>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</si>
  <si>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</si>
  <si>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</si>
  <si>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</si>
  <si>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</si>
  <si>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</si>
  <si>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</si>
  <si>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</si>
  <si>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</si>
  <si>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</si>
  <si>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</si>
  <si>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</si>
  <si>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</si>
  <si>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</si>
  <si>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</si>
  <si>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</si>
  <si>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</si>
  <si>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</si>
  <si>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</si>
  <si>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</si>
  <si>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</si>
  <si>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</si>
  <si>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</si>
  <si>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</si>
  <si>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</si>
  <si>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</si>
  <si>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</si>
  <si>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</si>
  <si>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</si>
  <si>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</si>
  <si>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</si>
  <si>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</si>
  <si>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</si>
  <si>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</si>
  <si>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</si>
  <si>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</si>
  <si>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</si>
  <si>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</si>
  <si>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</si>
  <si>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</si>
  <si>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</si>
  <si>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</si>
  <si>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</si>
  <si>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</si>
  <si>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</si>
  <si>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</si>
  <si>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</si>
  <si>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</si>
  <si>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</si>
  <si>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</si>
  <si>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</si>
  <si>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</si>
  <si>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</si>
  <si>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</si>
  <si>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</si>
  <si>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</si>
  <si>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</si>
  <si>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</si>
  <si>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</si>
  <si>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</si>
  <si>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</si>
  <si>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</si>
  <si>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</si>
  <si>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</si>
  <si>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</si>
  <si>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</si>
  <si>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</si>
  <si>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</si>
  <si>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</si>
  <si>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</si>
  <si>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</si>
  <si>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</si>
  <si>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</si>
  <si>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</si>
  <si>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</si>
  <si>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</si>
  <si>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</si>
  <si>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</si>
  <si>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</si>
  <si>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</si>
  <si>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</si>
  <si>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</si>
  <si>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</si>
  <si>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</si>
  <si>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</si>
  <si>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</si>
  <si>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</si>
  <si>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</si>
  <si>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</si>
  <si>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</si>
  <si>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</si>
  <si>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</si>
  <si>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</si>
  <si>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</si>
  <si>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</si>
  <si>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</si>
  <si>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</si>
  <si>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</si>
  <si>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</si>
  <si>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</si>
  <si>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</si>
  <si>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</si>
  <si>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</si>
  <si>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</si>
  <si>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</si>
  <si>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</si>
  <si>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</si>
  <si>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</si>
  <si>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</si>
  <si>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</si>
  <si>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</si>
  <si>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</si>
  <si>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</si>
  <si>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</si>
  <si>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</si>
  <si>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</si>
  <si>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</si>
  <si>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</si>
  <si>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</si>
  <si>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</si>
  <si>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</si>
  <si>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</si>
  <si>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</si>
  <si>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</si>
  <si>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</si>
  <si>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</si>
  <si>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</si>
  <si>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</si>
  <si>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</si>
  <si>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</si>
  <si>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</si>
  <si>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</si>
  <si>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</si>
  <si>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</si>
  <si>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</si>
  <si>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</si>
  <si>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</si>
  <si>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</si>
  <si>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</si>
  <si>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</si>
  <si>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</si>
  <si>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</si>
  <si>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</si>
  <si>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</si>
  <si>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</si>
  <si>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</si>
  <si>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</si>
  <si>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</si>
  <si>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</si>
  <si>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</si>
  <si>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</si>
  <si>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</si>
  <si>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</si>
  <si>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</si>
  <si>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</si>
  <si>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</si>
  <si>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</si>
  <si>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</si>
  <si>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</si>
  <si>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</si>
  <si>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</si>
  <si>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</si>
  <si>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</si>
  <si>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</si>
  <si>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</si>
  <si>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</si>
  <si>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</si>
  <si>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</si>
  <si>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</si>
  <si>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</si>
  <si>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</si>
  <si>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</si>
  <si>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</si>
  <si>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</si>
  <si>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</si>
  <si>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</si>
  <si>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</si>
  <si>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</si>
  <si>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</si>
  <si>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</si>
  <si>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</si>
  <si>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</si>
  <si>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</si>
  <si>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</si>
  <si>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</si>
  <si>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</si>
  <si>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</si>
  <si>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</si>
  <si>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</si>
  <si>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</si>
  <si>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</si>
  <si>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</si>
  <si>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</si>
  <si>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</si>
  <si>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</si>
  <si>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</si>
  <si>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</si>
  <si>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</si>
  <si>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</si>
  <si>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</si>
  <si>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</si>
  <si>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</si>
  <si>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</si>
  <si>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</si>
  <si>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</si>
  <si>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</si>
  <si>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</si>
  <si>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</si>
  <si>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</si>
  <si>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</si>
  <si>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</si>
  <si>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</si>
  <si>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</si>
  <si>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</si>
  <si>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</si>
  <si>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</si>
  <si>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</si>
  <si>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</si>
  <si>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</si>
  <si>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</si>
  <si>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</si>
  <si>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</si>
  <si>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</si>
  <si>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</si>
  <si>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</si>
  <si>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</si>
  <si>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</si>
  <si>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</si>
  <si>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</si>
  <si>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</si>
  <si>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</si>
  <si>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</si>
  <si>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</si>
  <si>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</si>
  <si>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</si>
  <si>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</si>
  <si>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</si>
  <si>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</si>
  <si>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</si>
  <si>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</si>
  <si>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</si>
  <si>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</si>
  <si>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</si>
  <si>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</si>
  <si>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</si>
  <si>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</si>
  <si>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</si>
  <si>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</si>
  <si>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</si>
  <si>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</si>
  <si>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</si>
  <si>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</si>
  <si>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</si>
  <si>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</si>
  <si>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</si>
  <si>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</si>
  <si>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</si>
  <si>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</si>
  <si>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</si>
  <si>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</si>
  <si>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</si>
  <si>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</si>
  <si>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</si>
  <si>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</si>
  <si>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</si>
  <si>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</si>
  <si>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</si>
  <si>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</si>
  <si>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</si>
  <si>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</si>
  <si>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</si>
  <si>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</si>
  <si>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</si>
  <si>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</si>
  <si>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</si>
  <si>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</si>
  <si>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</si>
  <si>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</si>
  <si>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</si>
  <si>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</si>
  <si>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</si>
  <si>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</si>
  <si>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</si>
  <si>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</si>
  <si>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</si>
  <si>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</si>
  <si>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</si>
  <si>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</si>
  <si>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</si>
  <si>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</si>
  <si>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</si>
  <si>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</si>
  <si>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</si>
  <si>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</si>
  <si>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</si>
  <si>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</si>
  <si>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</si>
  <si>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</si>
  <si>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</si>
  <si>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</si>
  <si>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</si>
  <si>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</si>
  <si>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</si>
  <si>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</si>
  <si>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</si>
  <si>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</si>
  <si>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</si>
  <si>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</si>
  <si>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</si>
  <si>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</si>
  <si>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</si>
  <si>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</si>
  <si>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</si>
  <si>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</si>
  <si>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</si>
  <si>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</si>
  <si>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</si>
  <si>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</si>
  <si>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</si>
  <si>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</si>
  <si>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</si>
  <si>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</si>
  <si>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</si>
  <si>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</si>
  <si>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</si>
  <si>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</si>
  <si>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</si>
  <si>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</si>
  <si>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</si>
  <si>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</si>
  <si>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</si>
  <si>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</si>
  <si>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</si>
  <si>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</si>
  <si>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</si>
  <si>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</si>
  <si>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</si>
  <si>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</si>
  <si>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</si>
  <si>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</si>
  <si>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</si>
  <si>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</si>
  <si>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</si>
  <si>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</si>
  <si>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</si>
  <si>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</si>
  <si>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</si>
  <si>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</si>
  <si>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</si>
  <si>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</si>
  <si>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</si>
  <si>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</si>
  <si>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</si>
  <si>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</si>
  <si>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</si>
  <si>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</si>
  <si>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</si>
  <si>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</si>
  <si>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</si>
  <si>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</si>
  <si>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</si>
  <si>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</si>
  <si>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</si>
  <si>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</si>
  <si>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</si>
  <si>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</si>
  <si>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</si>
  <si>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</si>
  <si>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</si>
  <si>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</si>
  <si>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</si>
  <si>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</si>
  <si>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</si>
  <si>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</si>
  <si>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</si>
  <si>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</si>
  <si>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</si>
  <si>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</si>
  <si>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</si>
  <si>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</si>
  <si>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</si>
  <si>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</si>
  <si>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</si>
  <si>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</si>
  <si>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</si>
  <si>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</si>
  <si>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</si>
  <si>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</si>
  <si>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</si>
  <si>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</si>
  <si>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</si>
  <si>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</si>
  <si>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</si>
  <si>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</si>
  <si>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</si>
  <si>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</si>
  <si>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</si>
  <si>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</si>
  <si>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</si>
  <si>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</si>
  <si>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</si>
  <si>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</si>
  <si>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</si>
  <si>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</si>
  <si>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</si>
  <si>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</si>
  <si>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</si>
  <si>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</si>
  <si>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</si>
  <si>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</si>
  <si>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</si>
  <si>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</si>
  <si>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</si>
  <si>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</si>
  <si>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</si>
  <si>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</si>
  <si>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</si>
  <si>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</si>
  <si>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</si>
  <si>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</si>
  <si>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</si>
  <si>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</si>
  <si>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</si>
  <si>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</si>
  <si>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</si>
  <si>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</si>
  <si>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</si>
  <si>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</si>
  <si>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</si>
  <si>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</si>
  <si>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</si>
  <si>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</si>
  <si>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</si>
  <si>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</si>
  <si>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</si>
  <si>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</si>
  <si>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</si>
  <si>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</si>
  <si>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</si>
  <si>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</si>
  <si>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</si>
  <si>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</si>
  <si>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</si>
  <si>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</si>
  <si>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</si>
  <si>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</si>
  <si>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</si>
  <si>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</si>
  <si>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</si>
  <si>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</si>
  <si>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</si>
  <si>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</si>
  <si>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</si>
  <si>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</si>
  <si>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</si>
  <si>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</si>
  <si>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</si>
  <si>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</si>
  <si>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</si>
  <si>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</si>
  <si>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</si>
  <si>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</si>
  <si>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</si>
  <si>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</si>
  <si>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</si>
  <si>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</si>
  <si>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</si>
  <si>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</si>
  <si>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</si>
  <si>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</si>
  <si>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</si>
  <si>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</si>
  <si>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</si>
  <si>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</si>
  <si>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</si>
  <si>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</si>
  <si>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</si>
  <si>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</si>
  <si>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</si>
  <si>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</si>
  <si>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</si>
  <si>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</si>
  <si>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</si>
  <si>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</si>
  <si>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</si>
  <si>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</si>
  <si>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</si>
  <si>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</si>
  <si>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</si>
  <si>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</si>
  <si>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</si>
  <si>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</si>
  <si>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</si>
  <si>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</si>
  <si>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</si>
  <si>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</si>
  <si>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</si>
  <si>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</si>
  <si>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</si>
  <si>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</si>
  <si>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</si>
  <si>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</si>
  <si>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</si>
  <si>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</si>
  <si>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</si>
  <si>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</si>
  <si>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</si>
  <si>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</si>
  <si>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</si>
  <si>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</si>
  <si>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</si>
  <si>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</si>
  <si>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</si>
  <si>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</si>
  <si>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</si>
  <si>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</si>
  <si>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</si>
  <si>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</si>
  <si>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</si>
  <si>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</si>
  <si>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</si>
  <si>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</si>
  <si>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</si>
  <si>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</si>
  <si>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</si>
  <si>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</si>
  <si>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</si>
  <si>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</si>
  <si>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</si>
  <si>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</si>
  <si>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</si>
  <si>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</si>
  <si>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</si>
  <si>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</si>
  <si>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</si>
  <si>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</si>
  <si>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</si>
  <si>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</si>
  <si>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</si>
  <si>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</si>
  <si>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</si>
  <si>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</si>
  <si>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</si>
  <si>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</si>
  <si>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</si>
  <si>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</si>
  <si>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</si>
  <si>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</si>
  <si>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</si>
  <si>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</si>
  <si>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</si>
  <si>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</si>
  <si>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</si>
  <si>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</si>
  <si>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</si>
  <si>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</si>
  <si>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</si>
  <si>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</si>
  <si>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</si>
  <si>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</si>
  <si>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</si>
  <si>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</si>
  <si>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</si>
  <si>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</si>
  <si>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</si>
  <si>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</si>
  <si>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</si>
  <si>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</si>
  <si>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</si>
  <si>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</si>
  <si>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</si>
  <si>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</si>
  <si>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</si>
  <si>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</si>
  <si>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</si>
  <si>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</si>
  <si>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</si>
  <si>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</si>
  <si>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</si>
  <si>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</si>
  <si>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</si>
  <si>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</si>
  <si>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</si>
  <si>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</si>
  <si>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</si>
  <si>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</si>
  <si>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</si>
  <si>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</si>
  <si>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</si>
  <si>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</si>
  <si>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</si>
  <si>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</si>
  <si>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</si>
  <si>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</si>
  <si>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</si>
  <si>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</si>
  <si>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</si>
  <si>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</si>
  <si>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</si>
  <si>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</si>
  <si>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</si>
  <si>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</si>
  <si>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</si>
  <si>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</si>
  <si>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</si>
  <si>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</si>
  <si>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</si>
  <si>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</si>
  <si>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</si>
  <si>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</si>
  <si>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</si>
  <si>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</si>
  <si>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</si>
  <si>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</si>
  <si>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</si>
  <si>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</si>
  <si>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</si>
  <si>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</si>
  <si>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</si>
  <si>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</si>
  <si>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</si>
  <si>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</si>
  <si>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</si>
  <si>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</si>
  <si>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</si>
  <si>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</si>
  <si>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</si>
  <si>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</si>
  <si>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</si>
  <si>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</si>
  <si>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</si>
  <si>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</si>
  <si>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</si>
  <si>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</si>
  <si>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</si>
  <si>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</si>
  <si>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</si>
  <si>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</si>
  <si>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</si>
  <si>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</si>
  <si>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</si>
  <si>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</si>
  <si>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</si>
  <si>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</si>
  <si>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</si>
  <si>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</si>
  <si>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</si>
  <si>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</si>
  <si>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</si>
  <si>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</si>
  <si>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</si>
  <si>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</si>
  <si>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</si>
  <si>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</si>
  <si>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</si>
  <si>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</si>
  <si>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</si>
  <si>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</si>
  <si>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</si>
  <si>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</si>
  <si>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</si>
  <si>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</si>
  <si>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</si>
  <si>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</si>
  <si>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</si>
  <si>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</si>
  <si>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</si>
  <si>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</si>
  <si>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</si>
  <si>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</si>
  <si>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</si>
  <si>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</si>
  <si>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</si>
  <si>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</si>
  <si>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</si>
  <si>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</si>
  <si>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</si>
  <si>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</si>
  <si>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</si>
  <si>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</si>
  <si>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</si>
  <si>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</si>
  <si>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</si>
  <si>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</si>
  <si>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</si>
  <si>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</si>
  <si>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</si>
  <si>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</si>
  <si>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</si>
  <si>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</si>
  <si>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</si>
  <si>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</si>
  <si>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</si>
  <si>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</si>
  <si>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</si>
  <si>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</si>
  <si>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</si>
  <si>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</si>
  <si>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</si>
  <si>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</si>
  <si>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</si>
  <si>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</si>
  <si>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</si>
  <si>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</si>
  <si>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</si>
  <si>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</si>
  <si>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</si>
  <si>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</si>
  <si>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</si>
  <si>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</si>
  <si>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</si>
  <si>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</si>
  <si>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</si>
  <si>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</si>
  <si>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</si>
  <si>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</si>
  <si>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</si>
  <si>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</si>
  <si>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</si>
  <si>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</si>
  <si>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</si>
  <si>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</si>
  <si>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</si>
  <si>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</si>
  <si>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</si>
  <si>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</si>
  <si>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</si>
  <si>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</si>
  <si>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</si>
  <si>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</si>
  <si>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</si>
  <si>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</si>
  <si>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</si>
  <si>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</si>
  <si>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</si>
  <si>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</si>
  <si>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</si>
  <si>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</si>
  <si>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</si>
  <si>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</si>
  <si>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</si>
  <si>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</si>
  <si>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</si>
  <si>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</si>
  <si>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</si>
  <si>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</si>
  <si>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</si>
  <si>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</si>
  <si>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</si>
  <si>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</si>
  <si>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</si>
  <si>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</si>
  <si>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</si>
  <si>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</si>
  <si>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</si>
  <si>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</si>
  <si>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</si>
  <si>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</si>
  <si>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</si>
  <si>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</si>
  <si>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</si>
  <si>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</si>
  <si>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</si>
  <si>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</si>
  <si>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</si>
  <si>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</si>
  <si>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</si>
  <si>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</si>
  <si>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</si>
  <si>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</si>
  <si>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</si>
  <si>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</si>
  <si>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</si>
  <si>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</si>
  <si>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</si>
  <si>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</si>
  <si>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</si>
  <si>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</si>
  <si>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</si>
  <si>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</si>
  <si>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</si>
  <si>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</si>
  <si>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</si>
  <si>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</si>
  <si>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</si>
  <si>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</si>
  <si>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</si>
  <si>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</si>
  <si>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</si>
  <si>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</si>
  <si>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</si>
  <si>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</si>
  <si>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</si>
  <si>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</si>
  <si>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</si>
  <si>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</si>
  <si>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</si>
  <si>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</si>
  <si>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</si>
  <si>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</si>
  <si>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</si>
  <si>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</si>
  <si>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</si>
  <si>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</si>
  <si>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</si>
  <si>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</si>
  <si>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</si>
  <si>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</si>
  <si>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</si>
  <si>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</si>
  <si>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</si>
  <si>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</si>
  <si>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</si>
  <si>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</si>
  <si>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</si>
  <si>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</si>
  <si>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</si>
  <si>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</si>
  <si>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</si>
  <si>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</si>
  <si>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</si>
  <si>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</si>
  <si>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</si>
  <si>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</si>
  <si>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</si>
  <si>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</si>
  <si>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</si>
  <si>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</si>
  <si>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</si>
  <si>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</si>
  <si>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</si>
  <si>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</si>
  <si>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</si>
  <si>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</si>
  <si>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</si>
  <si>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</si>
  <si>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</si>
  <si>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</si>
  <si>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</si>
  <si>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</si>
  <si>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</si>
  <si>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</si>
  <si>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</si>
  <si>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</si>
  <si>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</si>
  <si>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</si>
  <si>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</si>
  <si>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</si>
  <si>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</si>
  <si>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</si>
  <si>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</si>
  <si>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</si>
  <si>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</si>
  <si>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</si>
  <si>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</si>
  <si>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</si>
  <si>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</si>
  <si>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</si>
  <si>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</si>
  <si>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</si>
  <si>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</si>
  <si>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</si>
  <si>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</si>
  <si>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</si>
  <si>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</si>
  <si>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</si>
  <si>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</si>
  <si>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</si>
  <si>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</si>
  <si>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</si>
  <si>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</si>
  <si>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</si>
  <si>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</si>
  <si>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</si>
  <si>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</si>
  <si>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</si>
  <si>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</si>
  <si>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</si>
  <si>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</si>
  <si>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</si>
  <si>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</si>
  <si>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</si>
  <si>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</si>
  <si>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</si>
  <si>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</si>
  <si>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</si>
  <si>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</si>
  <si>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</si>
  <si>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</si>
  <si>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</si>
  <si>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</si>
  <si>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</si>
  <si>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</si>
  <si>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</si>
  <si>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</si>
  <si>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</si>
  <si>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</si>
  <si>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</si>
  <si>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</si>
  <si>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</si>
  <si>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</si>
  <si>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</si>
  <si>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</si>
  <si>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</si>
  <si>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</si>
  <si>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</si>
  <si>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</si>
  <si>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</si>
  <si>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</si>
  <si>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</si>
  <si>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</si>
  <si>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</si>
  <si>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</si>
  <si>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</si>
  <si>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</si>
  <si>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</si>
  <si>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</si>
  <si>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</si>
  <si>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</si>
  <si>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</si>
  <si>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</si>
  <si>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</si>
  <si>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</si>
  <si>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</si>
  <si>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</si>
  <si>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</si>
  <si>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</si>
  <si>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</si>
  <si>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</si>
  <si>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</si>
  <si>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</si>
  <si>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</si>
  <si>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</si>
  <si>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</si>
  <si>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</si>
  <si>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</si>
  <si>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</si>
  <si>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</si>
  <si>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</si>
  <si>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</si>
  <si>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</si>
  <si>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</si>
  <si>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</si>
  <si>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</si>
  <si>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</si>
  <si>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</si>
  <si>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</si>
  <si>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</si>
  <si>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</si>
  <si>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</si>
  <si>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</si>
  <si>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</si>
  <si>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</si>
  <si>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</si>
  <si>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</si>
  <si>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</si>
  <si>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</si>
  <si>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</si>
  <si>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</si>
  <si>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</si>
  <si>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</si>
  <si>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</si>
  <si>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</si>
  <si>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</si>
  <si>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</si>
  <si>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</si>
  <si>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</si>
  <si>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</si>
  <si>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</si>
  <si>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</si>
  <si>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</si>
  <si>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</si>
  <si>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</si>
  <si>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</si>
  <si>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</si>
  <si>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</si>
  <si>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</si>
  <si>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</si>
  <si>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</si>
  <si>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</si>
  <si>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</si>
  <si>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</si>
  <si>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</si>
  <si>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</si>
  <si>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</si>
  <si>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</si>
  <si>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</si>
  <si>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</si>
  <si>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</si>
  <si>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</si>
  <si>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</si>
  <si>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</si>
  <si>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</si>
  <si>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</si>
  <si>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</si>
  <si>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</si>
  <si>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</si>
  <si>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</si>
  <si>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</si>
  <si>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</si>
  <si>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</si>
  <si>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</si>
  <si>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</si>
  <si>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</si>
  <si>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</si>
  <si>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</si>
  <si>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</si>
  <si>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</si>
  <si>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</si>
  <si>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</si>
  <si>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</si>
  <si>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</si>
  <si>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</si>
  <si>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</si>
  <si>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</si>
  <si>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</si>
  <si>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</si>
  <si>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</si>
  <si>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</si>
  <si>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</si>
  <si>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</si>
  <si>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</si>
  <si>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</si>
  <si>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</si>
  <si>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</si>
  <si>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</si>
  <si>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</si>
  <si>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</si>
  <si>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</si>
  <si>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</si>
  <si>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</si>
  <si>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</si>
  <si>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</si>
  <si>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</si>
  <si>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</si>
  <si>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</si>
  <si>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</si>
  <si>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</si>
  <si>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</si>
  <si>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</si>
  <si>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</si>
  <si>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</si>
  <si>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</si>
  <si>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</si>
  <si>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</si>
  <si>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</si>
  <si>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</si>
  <si>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</si>
  <si>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</si>
  <si>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</si>
  <si>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</si>
  <si>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</si>
  <si>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</si>
  <si>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</si>
  <si>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</si>
  <si>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</si>
  <si>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</si>
  <si>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</si>
  <si>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</si>
  <si>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</si>
  <si>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</si>
  <si>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</si>
  <si>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</si>
  <si>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</si>
  <si>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</si>
  <si>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</si>
  <si>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</si>
  <si>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</si>
  <si>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</si>
  <si>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</si>
  <si>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</si>
  <si>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</si>
  <si>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</si>
  <si>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</si>
  <si>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</si>
  <si>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</si>
  <si>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</si>
  <si>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</si>
  <si>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</si>
  <si>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</si>
  <si>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</si>
  <si>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</si>
  <si>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</si>
  <si>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</si>
  <si>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</si>
  <si>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</si>
  <si>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</si>
  <si>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</si>
  <si>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</si>
  <si>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</si>
  <si>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</si>
  <si>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</si>
  <si>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</si>
  <si>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</si>
  <si>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</si>
  <si>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</si>
  <si>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</si>
  <si>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</si>
  <si>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</si>
  <si>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</si>
  <si>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</si>
  <si>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</si>
  <si>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</si>
  <si>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</si>
  <si>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</si>
  <si>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</si>
  <si>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</si>
  <si>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</si>
  <si>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</si>
  <si>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</si>
  <si>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</si>
  <si>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</si>
  <si>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</si>
  <si>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</si>
  <si>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</si>
  <si>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</si>
  <si>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</si>
  <si>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</si>
  <si>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</si>
  <si>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</si>
  <si>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</si>
  <si>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</si>
  <si>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</si>
  <si>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</si>
  <si>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</si>
  <si>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</si>
  <si>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</si>
  <si>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</si>
  <si>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</si>
  <si>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</si>
  <si>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</si>
  <si>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</si>
  <si>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</si>
  <si>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</si>
  <si>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</si>
  <si>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</si>
  <si>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</si>
  <si>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</si>
  <si>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</si>
  <si>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</si>
  <si>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</si>
  <si>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</si>
  <si>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</si>
  <si>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</si>
  <si>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</si>
  <si>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</si>
  <si>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</si>
  <si>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</si>
  <si>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</si>
  <si>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</si>
  <si>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</si>
  <si>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</si>
  <si>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</si>
  <si>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</si>
  <si>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</si>
  <si>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</si>
  <si>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</si>
  <si>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</si>
  <si>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</si>
  <si>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</si>
  <si>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</si>
  <si>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</si>
  <si>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</si>
  <si>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</si>
  <si>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</si>
  <si>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</si>
  <si>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</si>
  <si>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</si>
  <si>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</si>
  <si>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</si>
  <si>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</si>
  <si>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</si>
  <si>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</si>
  <si>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</si>
  <si>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</si>
  <si>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</si>
  <si>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</si>
  <si>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</si>
  <si>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</si>
  <si>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</si>
  <si>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</si>
  <si>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</si>
  <si>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</si>
  <si>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</si>
  <si>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</si>
  <si>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</si>
  <si>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</si>
  <si>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</si>
  <si>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</si>
  <si>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</si>
  <si>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</si>
  <si>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</si>
  <si>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</si>
  <si>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</si>
  <si>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</si>
  <si>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</si>
  <si>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</si>
  <si>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</si>
  <si>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</si>
  <si>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</si>
  <si>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</si>
  <si>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</si>
  <si>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</si>
  <si>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</si>
  <si>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</si>
  <si>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</si>
  <si>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</si>
  <si>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</si>
  <si>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</si>
  <si>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</si>
  <si>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</si>
  <si>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</si>
  <si>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</si>
  <si>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</si>
  <si>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</si>
  <si>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</si>
  <si>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</si>
  <si>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</si>
  <si>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</si>
  <si>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</si>
  <si>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</si>
  <si>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</si>
  <si>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</si>
  <si>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</si>
  <si>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</si>
  <si>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</si>
  <si>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</si>
  <si>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</si>
  <si>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</si>
  <si>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</si>
  <si>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</si>
  <si>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</si>
  <si>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</si>
  <si>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</si>
  <si>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</si>
  <si>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</si>
  <si>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</si>
  <si>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</si>
  <si>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</si>
  <si>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</si>
  <si>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</si>
  <si>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</si>
  <si>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</si>
  <si>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</si>
  <si>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</si>
  <si>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</si>
  <si>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</si>
  <si>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</si>
  <si>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</si>
  <si>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</si>
  <si>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</si>
  <si>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</si>
  <si>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</si>
  <si>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</si>
  <si>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</si>
  <si>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</si>
  <si>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</si>
  <si>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</si>
  <si>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</si>
  <si>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</si>
  <si>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</si>
  <si>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</si>
  <si>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</si>
  <si>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</si>
  <si>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</si>
  <si>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</si>
  <si>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</si>
  <si>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</si>
  <si>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</si>
  <si>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</si>
  <si>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</si>
  <si>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</si>
  <si>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</si>
  <si>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</si>
  <si>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</si>
  <si>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</si>
  <si>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</si>
  <si>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</si>
  <si>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</si>
  <si>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</si>
  <si>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</si>
  <si>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</si>
  <si>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</si>
  <si>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</si>
  <si>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</si>
  <si>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</si>
  <si>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</si>
  <si>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</si>
  <si>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</si>
  <si>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</si>
  <si>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</si>
  <si>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</si>
  <si>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</si>
  <si>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</si>
  <si>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</si>
  <si>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</si>
  <si>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</si>
  <si>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</si>
  <si>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</si>
  <si>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</si>
  <si>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</si>
  <si>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</si>
  <si>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</si>
  <si>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</si>
  <si>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</si>
  <si>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</si>
  <si>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</si>
  <si>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</si>
  <si>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</si>
  <si>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</si>
  <si>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</si>
  <si>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</si>
  <si>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</si>
  <si>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</si>
  <si>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</si>
  <si>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</si>
  <si>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</si>
  <si>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</si>
  <si>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</si>
  <si>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</si>
  <si>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</si>
  <si>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</si>
  <si>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</si>
  <si>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</si>
  <si>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</si>
  <si>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</si>
  <si>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</si>
  <si>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</si>
  <si>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</si>
  <si>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</si>
  <si>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</si>
  <si>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</si>
  <si>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</si>
  <si>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</si>
  <si>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</si>
  <si>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</si>
  <si>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</si>
  <si>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</si>
  <si>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</si>
  <si>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</si>
  <si>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</si>
  <si>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</si>
  <si>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</si>
  <si>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</si>
  <si>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</si>
  <si>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</si>
  <si>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</si>
  <si>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</si>
  <si>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</si>
  <si>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</si>
  <si>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</si>
  <si>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</si>
  <si>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</si>
  <si>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</si>
  <si>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</si>
  <si>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</si>
  <si>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</si>
  <si>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</si>
  <si>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</si>
  <si>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</si>
  <si>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</si>
  <si>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</si>
  <si>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</si>
  <si>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</si>
  <si>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</si>
  <si>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</si>
  <si>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</si>
  <si>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</si>
  <si>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</si>
  <si>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</si>
  <si>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</si>
  <si>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</si>
  <si>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</si>
  <si>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</si>
  <si>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</si>
  <si>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</si>
  <si>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</si>
  <si>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</si>
  <si>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</si>
  <si>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</si>
  <si>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</si>
  <si>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</si>
  <si>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</si>
  <si>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</si>
  <si>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</si>
  <si>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</si>
  <si>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</si>
  <si>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</si>
  <si>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</si>
  <si>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</si>
  <si>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</si>
  <si>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</si>
  <si>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</si>
  <si>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</si>
  <si>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</si>
  <si>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</si>
  <si>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</si>
  <si>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</si>
  <si>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</si>
  <si>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</si>
  <si>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</si>
  <si>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</si>
  <si>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</si>
  <si>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</si>
  <si>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</si>
  <si>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</si>
  <si>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</si>
  <si>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</si>
  <si>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</si>
  <si>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</si>
  <si>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</si>
  <si>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</si>
  <si>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</si>
  <si>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</si>
  <si>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</si>
  <si>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</si>
  <si>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</si>
  <si>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</si>
  <si>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</si>
  <si>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</si>
  <si>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</si>
  <si>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</si>
  <si>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</si>
  <si>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</si>
  <si>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</si>
  <si>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</si>
  <si>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</si>
  <si>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</si>
  <si>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</si>
  <si>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Delivery Days</t>
  </si>
  <si>
    <t>Order Month</t>
  </si>
  <si>
    <t>Order Year</t>
  </si>
  <si>
    <t>Row Labels</t>
  </si>
  <si>
    <t>Grand Total</t>
  </si>
  <si>
    <t>Sum of Sales</t>
  </si>
  <si>
    <t>Jan</t>
  </si>
  <si>
    <t>Feb</t>
  </si>
  <si>
    <t>Mar</t>
  </si>
  <si>
    <t>Apr</t>
  </si>
  <si>
    <t>May</t>
  </si>
  <si>
    <t>Jun</t>
  </si>
  <si>
    <t>Jul</t>
  </si>
  <si>
    <t>Aug</t>
  </si>
  <si>
    <t>Sep</t>
  </si>
  <si>
    <t>Oct</t>
  </si>
  <si>
    <t>Nov</t>
  </si>
  <si>
    <t>Dec</t>
  </si>
  <si>
    <t>Total Sales</t>
  </si>
  <si>
    <t>Total Orders</t>
  </si>
  <si>
    <t>Count of Order ID</t>
  </si>
  <si>
    <t>Avg Order Value</t>
  </si>
  <si>
    <t>Avg Delivery Days</t>
  </si>
  <si>
    <r>
      <rPr>
        <b/>
        <sz val="11"/>
        <color theme="1"/>
        <rFont val="Calibri"/>
        <family val="2"/>
        <scheme val="minor"/>
      </rPr>
      <t>Central Region</t>
    </r>
    <r>
      <rPr>
        <sz val="11"/>
        <color theme="1"/>
        <rFont val="Calibri"/>
        <family val="2"/>
        <scheme val="minor"/>
      </rPr>
      <t xml:space="preserve"> is the top performer.</t>
    </r>
  </si>
  <si>
    <r>
      <rPr>
        <b/>
        <sz val="11"/>
        <color theme="1"/>
        <rFont val="Calibri"/>
        <family val="2"/>
        <scheme val="minor"/>
      </rPr>
      <t>Technology</t>
    </r>
    <r>
      <rPr>
        <sz val="11"/>
        <color theme="1"/>
        <rFont val="Calibri"/>
        <family val="2"/>
        <scheme val="minor"/>
      </rPr>
      <t xml:space="preserve"> drives most revenue.</t>
    </r>
  </si>
  <si>
    <r>
      <t xml:space="preserve">Sales peaked from </t>
    </r>
    <r>
      <rPr>
        <b/>
        <sz val="11"/>
        <color theme="1"/>
        <rFont val="Calibri"/>
        <family val="2"/>
        <scheme val="minor"/>
      </rPr>
      <t>Aug-Sep</t>
    </r>
    <r>
      <rPr>
        <sz val="11"/>
        <color theme="1"/>
        <rFont val="Calibri"/>
        <family val="2"/>
        <scheme val="minor"/>
      </rPr>
      <t>.</t>
    </r>
  </si>
  <si>
    <r>
      <rPr>
        <b/>
        <sz val="11"/>
        <color theme="1"/>
        <rFont val="Calibri"/>
        <family val="2"/>
        <scheme val="minor"/>
      </rPr>
      <t>Consumer</t>
    </r>
    <r>
      <rPr>
        <sz val="11"/>
        <color theme="1"/>
        <rFont val="Calibri"/>
        <family val="2"/>
        <scheme val="minor"/>
      </rPr>
      <t xml:space="preserve"> is the most valuable segment.</t>
    </r>
  </si>
  <si>
    <t>Average of Delivery Days</t>
  </si>
  <si>
    <t>Top 10 Customers by Revenue:</t>
  </si>
  <si>
    <r>
      <rPr>
        <b/>
        <sz val="11"/>
        <color theme="1"/>
        <rFont val="Calibri"/>
        <family val="2"/>
        <scheme val="minor"/>
      </rPr>
      <t>Standard</t>
    </r>
    <r>
      <rPr>
        <sz val="11"/>
        <color theme="1"/>
        <rFont val="Calibri"/>
        <family val="2"/>
        <scheme val="minor"/>
      </rPr>
      <t xml:space="preserve"> shipmode is preferrable even though ot take longer to deliver.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</si>
</sst>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14" fontId="0" fillId="3" borderId="2" xfId="0" applyNumberFormat="1" applyFill="1" applyBorder="1"/>
    <xf numFmtId="0" fontId="0" fillId="3" borderId="3" xfId="0" applyFill="1" applyBorder="1"/>
    <xf numFmtId="0" fontId="0" fillId="0" borderId="1" xfId="0" applyBorder="1"/>
    <xf numFmtId="0" fontId="0" fillId="0" borderId="2" xfId="0" applyBorder="1"/>
    <xf numFmtId="14" fontId="0" fillId="0" borderId="2" xfId="0" applyNumberFormat="1" applyBorder="1"/>
    <xf numFmtId="0" fontId="0" fillId="0" borderId="3" xfId="0" applyBorder="1"/>
    <xf numFmtId="1" fontId="0" fillId="3" borderId="2" xfId="0" applyNumberFormat="1" applyFill="1" applyBorder="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2" fillId="0" borderId="0" xfId="0" applyFont="1"/>
    <xf numFmtId="0" fontId="2" fillId="0" borderId="0" xfId="0" applyFont="1" applyAlignment="1">
      <alignment horizontal="left"/>
    </xf>
    <xf numFmtId="0" fontId="0" fillId="0" borderId="0" xfId="0" applyAlignment="1">
      <alignment horizontal="left"/>
    </xf>
  </cellXfs>
  <cellStyles count="1">
    <cellStyle name="Normal" xfId="0" builtinId="0"/>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SALES.xlsx]PT Region!PivotTable1</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Region'!$B$3</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Region'!$A$4:$A$8</c:f>
              <c:strCache>
                <c:ptCount val="4"/>
                <c:pt idx="0">
                  <c:v>Central</c:v>
                </c:pt>
                <c:pt idx="1">
                  <c:v>East</c:v>
                </c:pt>
                <c:pt idx="2">
                  <c:v>South</c:v>
                </c:pt>
                <c:pt idx="3">
                  <c:v>West</c:v>
                </c:pt>
              </c:strCache>
            </c:strRef>
          </c:cat>
          <c:val>
            <c:numRef>
              <c:f>'PT Region'!$B$4:$B$8</c:f>
              <c:numCache>
                <c:formatCode>0.00</c:formatCode>
                <c:ptCount val="4"/>
                <c:pt idx="0">
                  <c:v>45502.307599999978</c:v>
                </c:pt>
                <c:pt idx="1">
                  <c:v>33797.924000000014</c:v>
                </c:pt>
                <c:pt idx="2">
                  <c:v>12344.447499999998</c:v>
                </c:pt>
                <c:pt idx="3">
                  <c:v>37712.33699999997</c:v>
                </c:pt>
              </c:numCache>
            </c:numRef>
          </c:val>
          <c:extLst>
            <c:ext xmlns:c16="http://schemas.microsoft.com/office/drawing/2014/chart" uri="{C3380CC4-5D6E-409C-BE32-E72D297353CC}">
              <c16:uniqueId val="{00000000-B66E-40C9-98A4-2A89995D2AC2}"/>
            </c:ext>
          </c:extLst>
        </c:ser>
        <c:ser>
          <c:idx val="1"/>
          <c:order val="1"/>
          <c:tx>
            <c:strRef>
              <c:f>'PT Region'!$C$3</c:f>
              <c:strCache>
                <c:ptCount val="1"/>
                <c:pt idx="0">
                  <c:v>Count of Order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Region'!$A$4:$A$8</c:f>
              <c:strCache>
                <c:ptCount val="4"/>
                <c:pt idx="0">
                  <c:v>Central</c:v>
                </c:pt>
                <c:pt idx="1">
                  <c:v>East</c:v>
                </c:pt>
                <c:pt idx="2">
                  <c:v>South</c:v>
                </c:pt>
                <c:pt idx="3">
                  <c:v>West</c:v>
                </c:pt>
              </c:strCache>
            </c:strRef>
          </c:cat>
          <c:val>
            <c:numRef>
              <c:f>'PT Region'!$C$4:$C$8</c:f>
              <c:numCache>
                <c:formatCode>0.00</c:formatCode>
                <c:ptCount val="4"/>
                <c:pt idx="0">
                  <c:v>135</c:v>
                </c:pt>
                <c:pt idx="1">
                  <c:v>156</c:v>
                </c:pt>
                <c:pt idx="2">
                  <c:v>55</c:v>
                </c:pt>
                <c:pt idx="3">
                  <c:v>153</c:v>
                </c:pt>
              </c:numCache>
            </c:numRef>
          </c:val>
          <c:extLst>
            <c:ext xmlns:c16="http://schemas.microsoft.com/office/drawing/2014/chart" uri="{C3380CC4-5D6E-409C-BE32-E72D297353CC}">
              <c16:uniqueId val="{00000001-B66E-40C9-98A4-2A89995D2AC2}"/>
            </c:ext>
          </c:extLst>
        </c:ser>
        <c:dLbls>
          <c:dLblPos val="outEnd"/>
          <c:showLegendKey val="0"/>
          <c:showVal val="1"/>
          <c:showCatName val="0"/>
          <c:showSerName val="0"/>
          <c:showPercent val="0"/>
          <c:showBubbleSize val="0"/>
        </c:dLbls>
        <c:gapWidth val="219"/>
        <c:overlap val="-27"/>
        <c:axId val="1416694544"/>
        <c:axId val="1416712304"/>
      </c:barChart>
      <c:catAx>
        <c:axId val="141669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12304"/>
        <c:crosses val="autoZero"/>
        <c:auto val="1"/>
        <c:lblAlgn val="ctr"/>
        <c:lblOffset val="100"/>
        <c:noMultiLvlLbl val="0"/>
      </c:catAx>
      <c:valAx>
        <c:axId val="1416712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SALES.xlsx]PT Category!PivotTable2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'PT Category'!$B$3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AE-4C86-9B9E-366EF44F0D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AE-4C86-9B9E-366EF44F0D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AE-4C86-9B9E-366EF44F0DDC}"/>
              </c:ext>
            </c:extLst>
          </c:dPt>
          <c:cat>
            <c:strRef>
              <c:f>'PT Category'!$A$4:$A$7</c:f>
              <c:strCache>
                <c:ptCount val="3"/>
                <c:pt idx="0">
                  <c:v>Furniture</c:v>
                </c:pt>
                <c:pt idx="1">
                  <c:v>Office Supplies</c:v>
                </c:pt>
                <c:pt idx="2">
                  <c:v>Technology</c:v>
                </c:pt>
              </c:strCache>
            </c:strRef>
          </c:cat>
          <c:val>
            <c:numRef>
              <c:f>'PT Category'!$B$4:$B$7</c:f>
              <c:numCache>
                <c:formatCode>General</c:formatCode>
                <c:ptCount val="3"/>
                <c:pt idx="0">
                  <c:v>45847.610099999976</c:v>
                </c:pt>
                <c:pt idx="1">
                  <c:v>31467.874999999967</c:v>
                </c:pt>
                <c:pt idx="2">
                  <c:v>52041.53100000001</c:v>
                </c:pt>
              </c:numCache>
            </c:numRef>
          </c:val>
          <c:extLst>
            <c:ext xmlns:c16="http://schemas.microsoft.com/office/drawing/2014/chart" uri="{C3380CC4-5D6E-409C-BE32-E72D297353CC}">
              <c16:uniqueId val="{00000006-4DAE-4C86-9B9E-366EF44F0DDC}"/>
            </c:ext>
          </c:extLst>
        </c:ser>
        <c:ser>
          <c:idx val="1"/>
          <c:order val="1"/>
          <c:tx>
            <c:strRef>
              <c:f>'PT Category'!$C$3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FE32-49E8-A282-03202BC411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E32-49E8-A282-03202BC411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FE32-49E8-A282-03202BC41112}"/>
              </c:ext>
            </c:extLst>
          </c:dPt>
          <c:cat>
            <c:strRef>
              <c:f>'PT Category'!$A$4:$A$7</c:f>
              <c:strCache>
                <c:ptCount val="3"/>
                <c:pt idx="0">
                  <c:v>Furniture</c:v>
                </c:pt>
                <c:pt idx="1">
                  <c:v>Office Supplies</c:v>
                </c:pt>
                <c:pt idx="2">
                  <c:v>Technology</c:v>
                </c:pt>
              </c:strCache>
            </c:strRef>
          </c:cat>
          <c:val>
            <c:numRef>
              <c:f>'PT Category'!$C$4:$C$7</c:f>
              <c:numCache>
                <c:formatCode>General</c:formatCode>
                <c:ptCount val="3"/>
                <c:pt idx="0">
                  <c:v>109</c:v>
                </c:pt>
                <c:pt idx="1">
                  <c:v>293</c:v>
                </c:pt>
                <c:pt idx="2">
                  <c:v>97</c:v>
                </c:pt>
              </c:numCache>
            </c:numRef>
          </c:val>
          <c:extLst>
            <c:ext xmlns:c16="http://schemas.microsoft.com/office/drawing/2014/chart" uri="{C3380CC4-5D6E-409C-BE32-E72D297353CC}">
              <c16:uniqueId val="{00000007-4DAE-4C86-9B9E-366EF44F0D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SALES.xlsx]PT Monthly Trends!PivotTable4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Monthly Trends'!$B$3</c:f>
              <c:strCache>
                <c:ptCount val="1"/>
                <c:pt idx="0">
                  <c:v>Total</c:v>
                </c:pt>
              </c:strCache>
            </c:strRef>
          </c:tx>
          <c:spPr>
            <a:ln w="28575" cap="rnd">
              <a:solidFill>
                <a:schemeClr val="accent1"/>
              </a:solidFill>
              <a:round/>
            </a:ln>
            <a:effectLst/>
          </c:spPr>
          <c:marker>
            <c:symbol val="none"/>
          </c:marker>
          <c:cat>
            <c:strRef>
              <c:f>'PT Monthly 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 Monthly Trends'!$B$4:$B$16</c:f>
              <c:numCache>
                <c:formatCode>General</c:formatCode>
                <c:ptCount val="12"/>
                <c:pt idx="0">
                  <c:v>2488.3240000000001</c:v>
                </c:pt>
                <c:pt idx="1">
                  <c:v>861.36200000000008</c:v>
                </c:pt>
                <c:pt idx="2">
                  <c:v>2774.3328000000001</c:v>
                </c:pt>
                <c:pt idx="3">
                  <c:v>8681.1585000000014</c:v>
                </c:pt>
                <c:pt idx="4">
                  <c:v>814.97399999999993</c:v>
                </c:pt>
                <c:pt idx="5">
                  <c:v>14645.988999999998</c:v>
                </c:pt>
                <c:pt idx="6">
                  <c:v>3601.7880000000005</c:v>
                </c:pt>
                <c:pt idx="7">
                  <c:v>5941.8580000000002</c:v>
                </c:pt>
                <c:pt idx="8">
                  <c:v>41174.699599999993</c:v>
                </c:pt>
                <c:pt idx="9">
                  <c:v>10674.363499999999</c:v>
                </c:pt>
                <c:pt idx="10">
                  <c:v>15764.404500000004</c:v>
                </c:pt>
                <c:pt idx="11">
                  <c:v>21933.762200000001</c:v>
                </c:pt>
              </c:numCache>
            </c:numRef>
          </c:val>
          <c:smooth val="0"/>
          <c:extLst>
            <c:ext xmlns:c16="http://schemas.microsoft.com/office/drawing/2014/chart" uri="{C3380CC4-5D6E-409C-BE32-E72D297353CC}">
              <c16:uniqueId val="{00000000-DF19-4DF2-A51F-36D743D790C5}"/>
            </c:ext>
          </c:extLst>
        </c:ser>
        <c:dLbls>
          <c:showLegendKey val="0"/>
          <c:showVal val="0"/>
          <c:showCatName val="0"/>
          <c:showSerName val="0"/>
          <c:showPercent val="0"/>
          <c:showBubbleSize val="0"/>
        </c:dLbls>
        <c:smooth val="0"/>
        <c:axId val="2028355680"/>
        <c:axId val="2028356160"/>
      </c:lineChart>
      <c:catAx>
        <c:axId val="202835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356160"/>
        <c:crosses val="autoZero"/>
        <c:auto val="1"/>
        <c:lblAlgn val="ctr"/>
        <c:lblOffset val="100"/>
        <c:noMultiLvlLbl val="0"/>
      </c:catAx>
      <c:valAx>
        <c:axId val="202835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3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SALES.xlsx]PT Segment!PivotTable3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'PT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4D-4CC0-987C-25BDAF3DF7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4D-4CC0-987C-25BDAF3DF7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4D-4CC0-987C-25BDAF3DF76C}"/>
              </c:ext>
            </c:extLst>
          </c:dPt>
          <c:cat>
            <c:strRef>
              <c:f>'PT Segment'!$A$4:$A$7</c:f>
              <c:strCache>
                <c:ptCount val="3"/>
                <c:pt idx="0">
                  <c:v>Consumer</c:v>
                </c:pt>
                <c:pt idx="1">
                  <c:v>Corporate</c:v>
                </c:pt>
                <c:pt idx="2">
                  <c:v>Home Office</c:v>
                </c:pt>
              </c:strCache>
            </c:strRef>
          </c:cat>
          <c:val>
            <c:numRef>
              <c:f>'PT Segment'!$B$4:$B$7</c:f>
              <c:numCache>
                <c:formatCode>General</c:formatCode>
                <c:ptCount val="3"/>
                <c:pt idx="0">
                  <c:v>69852.239599999972</c:v>
                </c:pt>
                <c:pt idx="1">
                  <c:v>32323.846799999988</c:v>
                </c:pt>
                <c:pt idx="2">
                  <c:v>27180.929699999997</c:v>
                </c:pt>
              </c:numCache>
            </c:numRef>
          </c:val>
          <c:extLst>
            <c:ext xmlns:c16="http://schemas.microsoft.com/office/drawing/2014/chart" uri="{C3380CC4-5D6E-409C-BE32-E72D297353CC}">
              <c16:uniqueId val="{00000006-DE4D-4CC0-987C-25BDAF3DF7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SALES.xlsx]Top10 Customers!PivotTable6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Customers'!$A$4:$A$14</c:f>
              <c:strCache>
                <c:ptCount val="10"/>
                <c:pt idx="0">
                  <c:v>Sue Ann Reed</c:v>
                </c:pt>
                <c:pt idx="1">
                  <c:v>Kelly Collister</c:v>
                </c:pt>
                <c:pt idx="2">
                  <c:v>Brosina Hoffman</c:v>
                </c:pt>
                <c:pt idx="3">
                  <c:v>Dianna Wilson</c:v>
                </c:pt>
                <c:pt idx="4">
                  <c:v>Tracy Blumstein</c:v>
                </c:pt>
                <c:pt idx="5">
                  <c:v>Keith Herrera</c:v>
                </c:pt>
                <c:pt idx="6">
                  <c:v>Adam Bellavance</c:v>
                </c:pt>
                <c:pt idx="7">
                  <c:v>Nathan Mautz</c:v>
                </c:pt>
                <c:pt idx="8">
                  <c:v>Sean Braxton</c:v>
                </c:pt>
                <c:pt idx="9">
                  <c:v>Becky Martin</c:v>
                </c:pt>
              </c:strCache>
            </c:strRef>
          </c:cat>
          <c:val>
            <c:numRef>
              <c:f>'Top10 Customers'!$B$4:$B$14</c:f>
              <c:numCache>
                <c:formatCode>0.00</c:formatCode>
                <c:ptCount val="10"/>
                <c:pt idx="0">
                  <c:v>2735.9520000000002</c:v>
                </c:pt>
                <c:pt idx="1">
                  <c:v>3354.98</c:v>
                </c:pt>
                <c:pt idx="2">
                  <c:v>3714.3040000000001</c:v>
                </c:pt>
                <c:pt idx="3">
                  <c:v>3745.63</c:v>
                </c:pt>
                <c:pt idx="4">
                  <c:v>3761.1480000000006</c:v>
                </c:pt>
                <c:pt idx="5">
                  <c:v>3955.5070000000005</c:v>
                </c:pt>
                <c:pt idx="6">
                  <c:v>4438.6859999999997</c:v>
                </c:pt>
                <c:pt idx="7">
                  <c:v>4807.3719999999994</c:v>
                </c:pt>
                <c:pt idx="8">
                  <c:v>5579.9400000000005</c:v>
                </c:pt>
                <c:pt idx="9">
                  <c:v>10539.896000000001</c:v>
                </c:pt>
              </c:numCache>
            </c:numRef>
          </c:val>
          <c:extLst>
            <c:ext xmlns:c16="http://schemas.microsoft.com/office/drawing/2014/chart" uri="{C3380CC4-5D6E-409C-BE32-E72D297353CC}">
              <c16:uniqueId val="{00000000-0037-42C4-8A36-853FEDFF2713}"/>
            </c:ext>
          </c:extLst>
        </c:ser>
        <c:dLbls>
          <c:dLblPos val="outEnd"/>
          <c:showLegendKey val="0"/>
          <c:showVal val="1"/>
          <c:showCatName val="0"/>
          <c:showSerName val="0"/>
          <c:showPercent val="0"/>
          <c:showBubbleSize val="0"/>
        </c:dLbls>
        <c:gapWidth val="182"/>
        <c:axId val="2030626688"/>
        <c:axId val="2030630048"/>
      </c:barChart>
      <c:catAx>
        <c:axId val="203062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630048"/>
        <c:crosses val="autoZero"/>
        <c:auto val="1"/>
        <c:lblAlgn val="ctr"/>
        <c:lblOffset val="100"/>
        <c:noMultiLvlLbl val="0"/>
      </c:catAx>
      <c:valAx>
        <c:axId val="2030630048"/>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20306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571500</xdr:colOff>
      <xdr:row>4</xdr:row>
      <xdr:rowOff>30480</xdr:rowOff>
    </xdr:from>
    <xdr:ext cx="244554" cy="345544"/>
    <xdr:sp macro="" textlink="B8">
      <xdr:nvSpPr>
        <xdr:cNvPr id="7" name="TextBox 6">
          <a:extLst>
            <a:ext uri="{FF2B5EF4-FFF2-40B4-BE49-F238E27FC236}">
              <a16:creationId xmlns:a16="http://schemas.microsoft.com/office/drawing/2014/main" id="{C6EEBDC0-1967-6125-6F4A-B889DD9E060D}"/>
            </a:ext>
          </a:extLst>
        </xdr:cNvPr>
        <xdr:cNvSpPr txBox="1"/>
      </xdr:nvSpPr>
      <xdr:spPr>
        <a:xfrm>
          <a:off x="2232660" y="762000"/>
          <a:ext cx="244554"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55CAFCF-AE2D-4834-9733-804D3C3713CD}" type="TxLink">
            <a:rPr lang="en-US" sz="1400" b="0" i="0" u="none" strike="noStrike">
              <a:solidFill>
                <a:schemeClr val="bg1"/>
              </a:solidFill>
              <a:latin typeface="Arial Black" panose="020B0A04020102020204" pitchFamily="34" charset="0"/>
              <a:ea typeface="Calibri"/>
              <a:cs typeface="Calibri"/>
            </a:rPr>
            <a:pPr/>
            <a:t>129357.02</a:t>
          </a:fld>
          <a:endParaRPr lang="en-IN" sz="1400">
            <a:solidFill>
              <a:schemeClr val="bg1"/>
            </a:solidFill>
            <a:latin typeface="Arial Black" panose="020B0A040201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10</xdr:col>
      <xdr:colOff>190499</xdr:colOff>
      <xdr:row>0</xdr:row>
      <xdr:rowOff>173181</xdr:rowOff>
    </xdr:from>
    <xdr:to>
      <xdr:col>18</xdr:col>
      <xdr:colOff>233794</xdr:colOff>
      <xdr:row>17</xdr:row>
      <xdr:rowOff>25977</xdr:rowOff>
    </xdr:to>
    <xdr:graphicFrame macro="">
      <xdr:nvGraphicFramePr>
        <xdr:cNvPr id="2" name="Sales By Region">
          <a:extLst>
            <a:ext uri="{FF2B5EF4-FFF2-40B4-BE49-F238E27FC236}">
              <a16:creationId xmlns:a16="http://schemas.microsoft.com/office/drawing/2014/main" id="{B3E5756E-CE44-8DFC-B31B-4C35D1E7A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69273</xdr:rowOff>
    </xdr:from>
    <xdr:to>
      <xdr:col>4</xdr:col>
      <xdr:colOff>450273</xdr:colOff>
      <xdr:row>18</xdr:row>
      <xdr:rowOff>69273</xdr:rowOff>
    </xdr:to>
    <xdr:graphicFrame macro="">
      <xdr:nvGraphicFramePr>
        <xdr:cNvPr id="3" name="Sales By Category">
          <a:extLst>
            <a:ext uri="{FF2B5EF4-FFF2-40B4-BE49-F238E27FC236}">
              <a16:creationId xmlns:a16="http://schemas.microsoft.com/office/drawing/2014/main" id="{BC2B91E1-667F-FEEE-DA8B-3A6494338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20089</xdr:colOff>
      <xdr:row>18</xdr:row>
      <xdr:rowOff>145473</xdr:rowOff>
    </xdr:from>
    <xdr:to>
      <xdr:col>10</xdr:col>
      <xdr:colOff>8659</xdr:colOff>
      <xdr:row>31</xdr:row>
      <xdr:rowOff>24591</xdr:rowOff>
    </xdr:to>
    <xdr:graphicFrame macro="">
      <xdr:nvGraphicFramePr>
        <xdr:cNvPr id="4" name="Monthly Sales">
          <a:extLst>
            <a:ext uri="{FF2B5EF4-FFF2-40B4-BE49-F238E27FC236}">
              <a16:creationId xmlns:a16="http://schemas.microsoft.com/office/drawing/2014/main" id="{F9C78CA5-28D2-A5F1-F708-820C16A53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597479</xdr:colOff>
      <xdr:row>5</xdr:row>
      <xdr:rowOff>80008</xdr:rowOff>
    </xdr:from>
    <xdr:to>
      <xdr:col>10</xdr:col>
      <xdr:colOff>43296</xdr:colOff>
      <xdr:row>18</xdr:row>
      <xdr:rowOff>51955</xdr:rowOff>
    </xdr:to>
    <xdr:graphicFrame macro="">
      <xdr:nvGraphicFramePr>
        <xdr:cNvPr id="5" name="Sales By Segment">
          <a:extLst>
            <a:ext uri="{FF2B5EF4-FFF2-40B4-BE49-F238E27FC236}">
              <a16:creationId xmlns:a16="http://schemas.microsoft.com/office/drawing/2014/main" id="{F1A83412-8FCA-1CB2-BA90-1D85E4539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178378</xdr:colOff>
      <xdr:row>17</xdr:row>
      <xdr:rowOff>121229</xdr:rowOff>
    </xdr:from>
    <xdr:to>
      <xdr:col>18</xdr:col>
      <xdr:colOff>233795</xdr:colOff>
      <xdr:row>31</xdr:row>
      <xdr:rowOff>60614</xdr:rowOff>
    </xdr:to>
    <xdr:graphicFrame macro="">
      <xdr:nvGraphicFramePr>
        <xdr:cNvPr id="6" name="Top10 Customers">
          <a:extLst>
            <a:ext uri="{FF2B5EF4-FFF2-40B4-BE49-F238E27FC236}">
              <a16:creationId xmlns:a16="http://schemas.microsoft.com/office/drawing/2014/main" id="{61D887E7-FCD9-237B-998C-F046D56D2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337704</xdr:colOff>
      <xdr:row>0</xdr:row>
      <xdr:rowOff>174914</xdr:rowOff>
    </xdr:from>
    <xdr:to>
      <xdr:col>20</xdr:col>
      <xdr:colOff>261504</xdr:colOff>
      <xdr:row>8</xdr:row>
      <xdr:rowOff>86592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0A41B3C-57A5-AB0A-5100-8F2C805C01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21340" y="174914"/>
              <a:ext cx="1828800" cy="1366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355021</xdr:colOff>
      <xdr:row>8</xdr:row>
      <xdr:rowOff>166256</xdr:rowOff>
    </xdr:from>
    <xdr:to>
      <xdr:col>20</xdr:col>
      <xdr:colOff>278821</xdr:colOff>
      <xdr:row>15</xdr:row>
      <xdr:rowOff>17319</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19301785-8BA0-1312-5D31-E086C19FB8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38657" y="1620983"/>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355023</xdr:colOff>
      <xdr:row>15</xdr:row>
      <xdr:rowOff>114301</xdr:rowOff>
    </xdr:from>
    <xdr:to>
      <xdr:col>20</xdr:col>
      <xdr:colOff>278823</xdr:colOff>
      <xdr:row>23</xdr:row>
      <xdr:rowOff>95251</xdr:rowOff>
    </xdr:to>
    <mc:AlternateContent xmlns:mc="http://schemas.openxmlformats.org/markup-compatibility/2006" xmlns:a14="http://schemas.microsoft.com/office/drawing/2010/main">
      <mc:Choice Requires="a14">
        <xdr:graphicFrame macro="">
          <xdr:nvGraphicFramePr>
            <xdr:cNvPr id="10" name="Order Year">
              <a:extLst>
                <a:ext uri="{FF2B5EF4-FFF2-40B4-BE49-F238E27FC236}">
                  <a16:creationId xmlns:a16="http://schemas.microsoft.com/office/drawing/2014/main" id="{37AF2C4D-2BED-6BDE-7AD3-0679344C3882}"/>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1438659" y="2841915"/>
              <a:ext cx="1828800" cy="1435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155863</xdr:rowOff>
    </xdr:from>
    <xdr:to>
      <xdr:col>2</xdr:col>
      <xdr:colOff>190499</xdr:colOff>
      <xdr:row>4</xdr:row>
      <xdr:rowOff>103909</xdr:rowOff>
    </xdr:to>
    <xdr:sp macro="" textlink="">
      <xdr:nvSpPr>
        <xdr:cNvPr id="12" name="Rectangle: Rounded Corners 11">
          <a:extLst>
            <a:ext uri="{FF2B5EF4-FFF2-40B4-BE49-F238E27FC236}">
              <a16:creationId xmlns:a16="http://schemas.microsoft.com/office/drawing/2014/main" id="{D696B193-7F0C-4BAB-863D-4B93A77DFEA1}"/>
            </a:ext>
          </a:extLst>
        </xdr:cNvPr>
        <xdr:cNvSpPr/>
      </xdr:nvSpPr>
      <xdr:spPr>
        <a:xfrm>
          <a:off x="0" y="155863"/>
          <a:ext cx="1402772" cy="6754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Total Sales</a:t>
          </a:r>
        </a:p>
      </xdr:txBody>
    </xdr:sp>
    <xdr:clientData/>
  </xdr:twoCellAnchor>
  <xdr:oneCellAnchor>
    <xdr:from>
      <xdr:col>0</xdr:col>
      <xdr:colOff>0</xdr:colOff>
      <xdr:row>2</xdr:row>
      <xdr:rowOff>69272</xdr:rowOff>
    </xdr:from>
    <xdr:ext cx="1333500" cy="345544"/>
    <xdr:sp macro="" textlink="$W$2">
      <xdr:nvSpPr>
        <xdr:cNvPr id="13" name="TextBox 12">
          <a:extLst>
            <a:ext uri="{FF2B5EF4-FFF2-40B4-BE49-F238E27FC236}">
              <a16:creationId xmlns:a16="http://schemas.microsoft.com/office/drawing/2014/main" id="{CCFCCE5E-CB6F-0453-46AA-676DB2559DE0}"/>
            </a:ext>
          </a:extLst>
        </xdr:cNvPr>
        <xdr:cNvSpPr txBox="1"/>
      </xdr:nvSpPr>
      <xdr:spPr>
        <a:xfrm>
          <a:off x="0" y="432954"/>
          <a:ext cx="1333500"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D1EC2A7-C4BF-4D23-94AD-C0973B802168}" type="TxLink">
            <a:rPr lang="en-US" sz="1400" b="0" i="0" u="none" strike="noStrike">
              <a:solidFill>
                <a:schemeClr val="accent2"/>
              </a:solidFill>
              <a:latin typeface="Arial Black" panose="020B0A04020102020204" pitchFamily="34" charset="0"/>
              <a:ea typeface="Calibri"/>
              <a:cs typeface="Calibri"/>
            </a:rPr>
            <a:pPr marL="0" indent="0"/>
            <a:t>129357.02</a:t>
          </a:fld>
          <a:endParaRPr lang="en-IN" sz="1400" b="0" i="0" u="none" strike="noStrike">
            <a:solidFill>
              <a:schemeClr val="accent2"/>
            </a:solidFill>
            <a:latin typeface="Arial Black" panose="020B0A04020102020204" pitchFamily="34" charset="0"/>
            <a:ea typeface="Calibri"/>
            <a:cs typeface="Calibri"/>
          </a:endParaRPr>
        </a:p>
      </xdr:txBody>
    </xdr:sp>
    <xdr:clientData/>
  </xdr:oneCellAnchor>
  <xdr:twoCellAnchor>
    <xdr:from>
      <xdr:col>4</xdr:col>
      <xdr:colOff>580160</xdr:colOff>
      <xdr:row>0</xdr:row>
      <xdr:rowOff>178377</xdr:rowOff>
    </xdr:from>
    <xdr:to>
      <xdr:col>7</xdr:col>
      <xdr:colOff>320386</xdr:colOff>
      <xdr:row>4</xdr:row>
      <xdr:rowOff>138544</xdr:rowOff>
    </xdr:to>
    <xdr:sp macro="" textlink="">
      <xdr:nvSpPr>
        <xdr:cNvPr id="15" name="Rectangle: Rounded Corners 14">
          <a:extLst>
            <a:ext uri="{FF2B5EF4-FFF2-40B4-BE49-F238E27FC236}">
              <a16:creationId xmlns:a16="http://schemas.microsoft.com/office/drawing/2014/main" id="{DB979C71-9D46-4E67-BCBC-D54F210245AF}"/>
            </a:ext>
          </a:extLst>
        </xdr:cNvPr>
        <xdr:cNvSpPr/>
      </xdr:nvSpPr>
      <xdr:spPr>
        <a:xfrm>
          <a:off x="3004705" y="178377"/>
          <a:ext cx="1558636" cy="6875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Avg</a:t>
          </a:r>
          <a:r>
            <a:rPr lang="en-IN" sz="1400" b="1" baseline="0">
              <a:solidFill>
                <a:schemeClr val="bg1"/>
              </a:solidFill>
            </a:rPr>
            <a:t>  Order Value</a:t>
          </a:r>
          <a:endParaRPr lang="en-IN" sz="1400" b="1">
            <a:solidFill>
              <a:schemeClr val="bg1"/>
            </a:solidFill>
          </a:endParaRPr>
        </a:p>
      </xdr:txBody>
    </xdr:sp>
    <xdr:clientData/>
  </xdr:twoCellAnchor>
  <xdr:twoCellAnchor>
    <xdr:from>
      <xdr:col>7</xdr:col>
      <xdr:colOff>398319</xdr:colOff>
      <xdr:row>0</xdr:row>
      <xdr:rowOff>174914</xdr:rowOff>
    </xdr:from>
    <xdr:to>
      <xdr:col>10</xdr:col>
      <xdr:colOff>190500</xdr:colOff>
      <xdr:row>4</xdr:row>
      <xdr:rowOff>135081</xdr:rowOff>
    </xdr:to>
    <xdr:sp macro="" textlink="">
      <xdr:nvSpPr>
        <xdr:cNvPr id="16" name="Rectangle: Rounded Corners 15">
          <a:extLst>
            <a:ext uri="{FF2B5EF4-FFF2-40B4-BE49-F238E27FC236}">
              <a16:creationId xmlns:a16="http://schemas.microsoft.com/office/drawing/2014/main" id="{336A7941-6549-476C-8DAE-1847F0C3C88F}"/>
            </a:ext>
          </a:extLst>
        </xdr:cNvPr>
        <xdr:cNvSpPr/>
      </xdr:nvSpPr>
      <xdr:spPr>
        <a:xfrm>
          <a:off x="4641274" y="174914"/>
          <a:ext cx="1610590" cy="6875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Avg Delivery Days</a:t>
          </a:r>
        </a:p>
      </xdr:txBody>
    </xdr:sp>
    <xdr:clientData/>
  </xdr:twoCellAnchor>
  <xdr:twoCellAnchor>
    <xdr:from>
      <xdr:col>2</xdr:col>
      <xdr:colOff>268430</xdr:colOff>
      <xdr:row>0</xdr:row>
      <xdr:rowOff>164522</xdr:rowOff>
    </xdr:from>
    <xdr:to>
      <xdr:col>4</xdr:col>
      <xdr:colOff>476249</xdr:colOff>
      <xdr:row>4</xdr:row>
      <xdr:rowOff>124689</xdr:rowOff>
    </xdr:to>
    <xdr:sp macro="" textlink="">
      <xdr:nvSpPr>
        <xdr:cNvPr id="17" name="Rectangle: Rounded Corners 16">
          <a:extLst>
            <a:ext uri="{FF2B5EF4-FFF2-40B4-BE49-F238E27FC236}">
              <a16:creationId xmlns:a16="http://schemas.microsoft.com/office/drawing/2014/main" id="{8043A799-4A83-44C5-98B3-D248143FCE56}"/>
            </a:ext>
          </a:extLst>
        </xdr:cNvPr>
        <xdr:cNvSpPr/>
      </xdr:nvSpPr>
      <xdr:spPr>
        <a:xfrm>
          <a:off x="1480703" y="164522"/>
          <a:ext cx="1420091" cy="6875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t>   </a:t>
          </a:r>
          <a:r>
            <a:rPr lang="en-IN" sz="1400" b="1"/>
            <a:t>Total</a:t>
          </a:r>
          <a:r>
            <a:rPr lang="en-IN" sz="1100" b="1"/>
            <a:t> </a:t>
          </a:r>
          <a:r>
            <a:rPr lang="en-IN" sz="1400" b="1"/>
            <a:t>Orders</a:t>
          </a:r>
          <a:endParaRPr lang="en-IN" sz="1100" b="1"/>
        </a:p>
      </xdr:txBody>
    </xdr:sp>
    <xdr:clientData/>
  </xdr:twoCellAnchor>
  <xdr:oneCellAnchor>
    <xdr:from>
      <xdr:col>2</xdr:col>
      <xdr:colOff>571500</xdr:colOff>
      <xdr:row>2</xdr:row>
      <xdr:rowOff>77932</xdr:rowOff>
    </xdr:from>
    <xdr:ext cx="184731" cy="264560"/>
    <xdr:sp macro="" textlink="">
      <xdr:nvSpPr>
        <xdr:cNvPr id="18" name="TextBox 17">
          <a:extLst>
            <a:ext uri="{FF2B5EF4-FFF2-40B4-BE49-F238E27FC236}">
              <a16:creationId xmlns:a16="http://schemas.microsoft.com/office/drawing/2014/main" id="{D3BF76CD-EF49-00DB-6186-A13FD76D0CB2}"/>
            </a:ext>
          </a:extLst>
        </xdr:cNvPr>
        <xdr:cNvSpPr txBox="1"/>
      </xdr:nvSpPr>
      <xdr:spPr>
        <a:xfrm>
          <a:off x="1783773" y="4416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91787</xdr:colOff>
      <xdr:row>2</xdr:row>
      <xdr:rowOff>65808</xdr:rowOff>
    </xdr:from>
    <xdr:ext cx="543995" cy="345544"/>
    <xdr:sp macro="" textlink="$W$3">
      <xdr:nvSpPr>
        <xdr:cNvPr id="19" name="TextBox 18">
          <a:extLst>
            <a:ext uri="{FF2B5EF4-FFF2-40B4-BE49-F238E27FC236}">
              <a16:creationId xmlns:a16="http://schemas.microsoft.com/office/drawing/2014/main" id="{70142D07-41D9-47C9-8C9C-116F3CA5710A}"/>
            </a:ext>
          </a:extLst>
        </xdr:cNvPr>
        <xdr:cNvSpPr txBox="1"/>
      </xdr:nvSpPr>
      <xdr:spPr>
        <a:xfrm>
          <a:off x="1910196" y="429490"/>
          <a:ext cx="54399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10447DC-9E58-453D-B101-C9B5544F1926}" type="TxLink">
            <a:rPr lang="en-US" sz="1400" b="0" i="0" u="none" strike="noStrike">
              <a:solidFill>
                <a:schemeClr val="accent2"/>
              </a:solidFill>
              <a:latin typeface="Arial Black" panose="020B0A04020102020204" pitchFamily="34" charset="0"/>
              <a:ea typeface="Calibri"/>
              <a:cs typeface="Calibri"/>
            </a:rPr>
            <a:pPr marL="0" indent="0"/>
            <a:t>499</a:t>
          </a:fld>
          <a:endParaRPr lang="en-IN" sz="1400" b="0" i="0" u="none" strike="noStrike">
            <a:solidFill>
              <a:schemeClr val="accent2"/>
            </a:solidFill>
            <a:latin typeface="Arial Black" panose="020B0A04020102020204" pitchFamily="34" charset="0"/>
            <a:ea typeface="Calibri"/>
            <a:cs typeface="Calibri"/>
          </a:endParaRPr>
        </a:p>
      </xdr:txBody>
    </xdr:sp>
    <xdr:clientData/>
  </xdr:oneCellAnchor>
  <xdr:oneCellAnchor>
    <xdr:from>
      <xdr:col>5</xdr:col>
      <xdr:colOff>381000</xdr:colOff>
      <xdr:row>2</xdr:row>
      <xdr:rowOff>77932</xdr:rowOff>
    </xdr:from>
    <xdr:ext cx="843308" cy="345544"/>
    <xdr:sp macro="" textlink="$W$4">
      <xdr:nvSpPr>
        <xdr:cNvPr id="20" name="TextBox 19">
          <a:extLst>
            <a:ext uri="{FF2B5EF4-FFF2-40B4-BE49-F238E27FC236}">
              <a16:creationId xmlns:a16="http://schemas.microsoft.com/office/drawing/2014/main" id="{C869C11A-C4BB-D89E-C488-BE91A022693C}"/>
            </a:ext>
          </a:extLst>
        </xdr:cNvPr>
        <xdr:cNvSpPr txBox="1"/>
      </xdr:nvSpPr>
      <xdr:spPr>
        <a:xfrm>
          <a:off x="3411682" y="441614"/>
          <a:ext cx="843308"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65C1F50A-4F62-4139-BA90-133194647764}" type="TxLink">
            <a:rPr lang="en-US" sz="1400" b="0" i="0" u="none" strike="noStrike">
              <a:solidFill>
                <a:schemeClr val="accent2"/>
              </a:solidFill>
              <a:latin typeface="Arial Black" panose="020B0A04020102020204" pitchFamily="34" charset="0"/>
              <a:ea typeface="Calibri"/>
              <a:cs typeface="Calibri"/>
            </a:rPr>
            <a:pPr marL="0" indent="0"/>
            <a:t>259.23</a:t>
          </a:fld>
          <a:endParaRPr lang="en-IN" sz="1400" b="0" i="0" u="none" strike="noStrike">
            <a:solidFill>
              <a:schemeClr val="accent2"/>
            </a:solidFill>
            <a:latin typeface="Arial Black" panose="020B0A04020102020204" pitchFamily="34" charset="0"/>
            <a:ea typeface="Calibri"/>
            <a:cs typeface="Calibri"/>
          </a:endParaRPr>
        </a:p>
      </xdr:txBody>
    </xdr:sp>
    <xdr:clientData/>
  </xdr:oneCellAnchor>
  <xdr:oneCellAnchor>
    <xdr:from>
      <xdr:col>8</xdr:col>
      <xdr:colOff>389660</xdr:colOff>
      <xdr:row>2</xdr:row>
      <xdr:rowOff>69273</xdr:rowOff>
    </xdr:from>
    <xdr:ext cx="304442" cy="345544"/>
    <xdr:sp macro="" textlink="$W$5">
      <xdr:nvSpPr>
        <xdr:cNvPr id="21" name="TextBox 20">
          <a:extLst>
            <a:ext uri="{FF2B5EF4-FFF2-40B4-BE49-F238E27FC236}">
              <a16:creationId xmlns:a16="http://schemas.microsoft.com/office/drawing/2014/main" id="{6BCB0F6F-3BA1-32E4-E900-AD5457503803}"/>
            </a:ext>
          </a:extLst>
        </xdr:cNvPr>
        <xdr:cNvSpPr txBox="1"/>
      </xdr:nvSpPr>
      <xdr:spPr>
        <a:xfrm>
          <a:off x="5238751" y="432955"/>
          <a:ext cx="304442"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904B4F4B-E97E-4B23-A6E7-CFC61602A2A5}" type="TxLink">
            <a:rPr lang="en-US" sz="1400" b="0" i="0" u="none" strike="noStrike">
              <a:solidFill>
                <a:schemeClr val="accent2"/>
              </a:solidFill>
              <a:latin typeface="Arial Black" panose="020B0A04020102020204" pitchFamily="34" charset="0"/>
              <a:ea typeface="Calibri"/>
              <a:cs typeface="Calibri"/>
            </a:rPr>
            <a:pPr marL="0" indent="0"/>
            <a:t>4</a:t>
          </a:fld>
          <a:endParaRPr lang="en-IN" sz="1400" b="0" i="0" u="none" strike="noStrike">
            <a:solidFill>
              <a:schemeClr val="accent2"/>
            </a:solidFill>
            <a:latin typeface="Arial Black" panose="020B0A04020102020204" pitchFamily="34" charset="0"/>
            <a:ea typeface="Calibri"/>
            <a:cs typeface="Calibri"/>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a Mirapakayala" refreshedDate="46172.446820486111" createdVersion="8" refreshedVersion="8" minRefreshableVersion="3" recordCount="499" xr:uid="{CB8E07AA-65B3-4E56-A1C1-0A88CCF2F5DD}">
  <cacheSource type="worksheet">
    <worksheetSource ref="A1:U500" sheet="SuperstoreSALES"/>
  </cacheSource>
  <cacheFields count="21">
    <cacheField name="Row ID" numFmtId="0">
      <sharedItems containsSemiMixedTypes="0" containsString="0" containsNumber="1" containsInteger="1" minValue="1" maxValue="499"/>
    </cacheField>
    <cacheField name="Order ID" numFmtId="0">
      <sharedItems/>
    </cacheField>
    <cacheField name="Order Date" numFmtId="14">
      <sharedItems containsSemiMixedTypes="0" containsNonDate="0" containsDate="1" containsString="0" minDate="2015-02-12T00:00:00" maxDate="2018-12-29T00:00:00"/>
    </cacheField>
    <cacheField name="Order Month" numFmtId="14">
      <sharedItems count="12">
        <s v="Nov"/>
        <s v="Jun"/>
        <s v="Oct"/>
        <s v="Apr"/>
        <s v="Dec"/>
        <s v="May"/>
        <s v="Aug"/>
        <s v="Jul"/>
        <s v="Sep"/>
        <s v="Jan"/>
        <s v="Mar"/>
        <s v="Feb"/>
      </sharedItems>
    </cacheField>
    <cacheField name="Order Year" numFmtId="1">
      <sharedItems containsSemiMixedTypes="0" containsString="0" containsNumber="1" containsInteger="1" minValue="2015" maxValue="2018" count="4">
        <n v="2017"/>
        <n v="2016"/>
        <n v="2015"/>
        <n v="2018"/>
      </sharedItems>
    </cacheField>
    <cacheField name="Ship Date" numFmtId="14">
      <sharedItems containsSemiMixedTypes="0" containsNonDate="0" containsDate="1" containsString="0" minDate="2015-02-18T00:00:00" maxDate="2019-01-03T00:00:00"/>
    </cacheField>
    <cacheField name="Delivery Days" numFmtId="1">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ount="199">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198"/>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248" maxValue="8159.9520000000002"/>
    </cacheField>
  </cacheFields>
  <extLst>
    <ext xmlns:x14="http://schemas.microsoft.com/office/spreadsheetml/2009/9/main" uri="{725AE2AE-9491-48be-B2B4-4EB974FC3084}">
      <x14:pivotCacheDefinition pivotCacheId="354668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A-2017-152156"/>
    <d v="2017-11-08T00:00:00"/>
    <x v="0"/>
    <x v="0"/>
    <d v="2017-11-11T00:00:00"/>
    <n v="3"/>
    <x v="0"/>
    <s v="CG-12520"/>
    <x v="0"/>
    <x v="0"/>
    <s v="United States"/>
    <s v="Henderson"/>
    <s v="Kentucky"/>
    <n v="42420"/>
    <x v="0"/>
    <s v="FUR-BO-10001798"/>
    <x v="0"/>
    <x v="0"/>
    <s v="Bush Somerset Collection Bookcase"/>
    <n v="261.95999999999998"/>
  </r>
  <r>
    <n v="2"/>
    <s v="CA-2017-152156"/>
    <d v="2017-11-08T00:00:00"/>
    <x v="0"/>
    <x v="0"/>
    <d v="2017-11-11T00:00:00"/>
    <n v="3"/>
    <x v="0"/>
    <s v="CG-12520"/>
    <x v="0"/>
    <x v="0"/>
    <s v="United States"/>
    <s v="Henderson"/>
    <s v="Kentucky"/>
    <n v="42420"/>
    <x v="0"/>
    <s v="FUR-CH-10000454"/>
    <x v="0"/>
    <x v="1"/>
    <s v="Hon Deluxe Fabric Upholstered Stacking Chairs, Rounded Back"/>
    <n v="731.94"/>
  </r>
  <r>
    <n v="3"/>
    <s v="CA-2017-138688"/>
    <d v="2017-06-12T00:00:00"/>
    <x v="1"/>
    <x v="0"/>
    <d v="2017-06-16T00:00:00"/>
    <n v="4"/>
    <x v="0"/>
    <s v="DV-13045"/>
    <x v="1"/>
    <x v="1"/>
    <s v="United States"/>
    <s v="Los Angeles"/>
    <s v="California"/>
    <n v="90036"/>
    <x v="1"/>
    <s v="OFF-LA-10000240"/>
    <x v="1"/>
    <x v="2"/>
    <s v="Self-Adhesive Address Labels for Typewriters by Universal"/>
    <n v="14.62"/>
  </r>
  <r>
    <n v="4"/>
    <s v="US-2016-108966"/>
    <d v="2016-10-11T00:00:00"/>
    <x v="2"/>
    <x v="1"/>
    <d v="2016-10-18T00:00:00"/>
    <n v="7"/>
    <x v="1"/>
    <s v="SO-20335"/>
    <x v="2"/>
    <x v="0"/>
    <s v="United States"/>
    <s v="Fort Lauderdale"/>
    <s v="Florida"/>
    <n v="33311"/>
    <x v="0"/>
    <s v="FUR-TA-10000577"/>
    <x v="0"/>
    <x v="3"/>
    <s v="Bretford CR4500 Series Slim Rectangular Table"/>
    <n v="957.57749999999999"/>
  </r>
  <r>
    <n v="5"/>
    <s v="US-2016-108966"/>
    <d v="2016-10-11T00:00:00"/>
    <x v="2"/>
    <x v="1"/>
    <d v="2016-10-18T00:00:00"/>
    <n v="7"/>
    <x v="1"/>
    <s v="SO-20335"/>
    <x v="2"/>
    <x v="0"/>
    <s v="United States"/>
    <s v="Fort Lauderdale"/>
    <s v="Florida"/>
    <n v="33311"/>
    <x v="0"/>
    <s v="OFF-ST-10000760"/>
    <x v="1"/>
    <x v="4"/>
    <s v="Eldon Fold 'N Roll Cart System"/>
    <n v="22.367999999999999"/>
  </r>
  <r>
    <n v="6"/>
    <s v="CA-2015-115812"/>
    <d v="2015-06-09T00:00:00"/>
    <x v="1"/>
    <x v="2"/>
    <d v="2015-06-14T00:00:00"/>
    <n v="5"/>
    <x v="1"/>
    <s v="BH-11710"/>
    <x v="3"/>
    <x v="0"/>
    <s v="United States"/>
    <s v="Los Angeles"/>
    <s v="California"/>
    <n v="90032"/>
    <x v="1"/>
    <s v="FUR-FU-10001487"/>
    <x v="0"/>
    <x v="5"/>
    <s v="Eldon Expressions Wood and Plastic Desk Accessories, Cherry Wood"/>
    <n v="48.86"/>
  </r>
  <r>
    <n v="7"/>
    <s v="CA-2015-115812"/>
    <d v="2015-06-09T00:00:00"/>
    <x v="1"/>
    <x v="2"/>
    <d v="2015-06-14T00:00:00"/>
    <n v="5"/>
    <x v="1"/>
    <s v="BH-11710"/>
    <x v="3"/>
    <x v="0"/>
    <s v="United States"/>
    <s v="Los Angeles"/>
    <s v="California"/>
    <n v="90032"/>
    <x v="1"/>
    <s v="OFF-AR-10002833"/>
    <x v="1"/>
    <x v="6"/>
    <s v="Newell 322"/>
    <n v="7.28"/>
  </r>
  <r>
    <n v="8"/>
    <s v="CA-2015-115812"/>
    <d v="2015-06-09T00:00:00"/>
    <x v="1"/>
    <x v="2"/>
    <d v="2015-06-14T00:00:00"/>
    <n v="5"/>
    <x v="1"/>
    <s v="BH-11710"/>
    <x v="3"/>
    <x v="0"/>
    <s v="United States"/>
    <s v="Los Angeles"/>
    <s v="California"/>
    <n v="90032"/>
    <x v="1"/>
    <s v="TEC-PH-10002275"/>
    <x v="2"/>
    <x v="7"/>
    <s v="Mitel 5320 IP Phone VoIP phone"/>
    <n v="907.15200000000004"/>
  </r>
  <r>
    <n v="9"/>
    <s v="CA-2015-115812"/>
    <d v="2015-06-09T00:00:00"/>
    <x v="1"/>
    <x v="2"/>
    <d v="2015-06-14T00:00:00"/>
    <n v="5"/>
    <x v="1"/>
    <s v="BH-11710"/>
    <x v="3"/>
    <x v="0"/>
    <s v="United States"/>
    <s v="Los Angeles"/>
    <s v="California"/>
    <n v="90032"/>
    <x v="1"/>
    <s v="OFF-BI-10003910"/>
    <x v="1"/>
    <x v="8"/>
    <s v="DXL Angle-View Binders with Locking Rings by Samsill"/>
    <n v="18.504000000000001"/>
  </r>
  <r>
    <n v="10"/>
    <s v="CA-2015-115812"/>
    <d v="2015-06-09T00:00:00"/>
    <x v="1"/>
    <x v="2"/>
    <d v="2015-06-14T00:00:00"/>
    <n v="5"/>
    <x v="1"/>
    <s v="BH-11710"/>
    <x v="3"/>
    <x v="0"/>
    <s v="United States"/>
    <s v="Los Angeles"/>
    <s v="California"/>
    <n v="90032"/>
    <x v="1"/>
    <s v="OFF-AP-10002892"/>
    <x v="1"/>
    <x v="9"/>
    <s v="Belkin F5C206VTEL 6 Outlet Surge"/>
    <n v="114.9"/>
  </r>
  <r>
    <n v="11"/>
    <s v="CA-2015-115812"/>
    <d v="2015-06-09T00:00:00"/>
    <x v="1"/>
    <x v="2"/>
    <d v="2015-06-14T00:00:00"/>
    <n v="5"/>
    <x v="1"/>
    <s v="BH-11710"/>
    <x v="3"/>
    <x v="0"/>
    <s v="United States"/>
    <s v="Los Angeles"/>
    <s v="California"/>
    <n v="90032"/>
    <x v="1"/>
    <s v="FUR-TA-10001539"/>
    <x v="0"/>
    <x v="3"/>
    <s v="Chromcraft Rectangular Conference Tables"/>
    <n v="1706.184"/>
  </r>
  <r>
    <n v="12"/>
    <s v="CA-2015-115812"/>
    <d v="2015-06-09T00:00:00"/>
    <x v="1"/>
    <x v="2"/>
    <d v="2015-06-14T00:00:00"/>
    <n v="5"/>
    <x v="1"/>
    <s v="BH-11710"/>
    <x v="3"/>
    <x v="0"/>
    <s v="United States"/>
    <s v="Los Angeles"/>
    <s v="California"/>
    <n v="90032"/>
    <x v="1"/>
    <s v="TEC-PH-10002033"/>
    <x v="2"/>
    <x v="7"/>
    <s v="Konftel 250 ConferenceÂ phoneÂ - Charcoal black"/>
    <n v="911.42399999999998"/>
  </r>
  <r>
    <n v="13"/>
    <s v="CA-2018-114412"/>
    <d v="2018-04-15T00:00:00"/>
    <x v="3"/>
    <x v="3"/>
    <d v="2018-04-20T00:00:00"/>
    <n v="5"/>
    <x v="1"/>
    <s v="AA-10480"/>
    <x v="4"/>
    <x v="0"/>
    <s v="United States"/>
    <s v="Concord"/>
    <s v="North Carolina"/>
    <n v="28027"/>
    <x v="0"/>
    <s v="OFF-PA-10002365"/>
    <x v="1"/>
    <x v="10"/>
    <s v="Xerox 1967"/>
    <n v="15.552"/>
  </r>
  <r>
    <n v="14"/>
    <s v="CA-2017-161389"/>
    <d v="2017-12-05T00:00:00"/>
    <x v="4"/>
    <x v="0"/>
    <d v="2017-12-10T00:00:00"/>
    <n v="5"/>
    <x v="1"/>
    <s v="IM-15070"/>
    <x v="5"/>
    <x v="0"/>
    <s v="United States"/>
    <s v="Seattle"/>
    <s v="Washington"/>
    <n v="98103"/>
    <x v="1"/>
    <s v="OFF-BI-10003656"/>
    <x v="1"/>
    <x v="8"/>
    <s v="Fellowes PB200 Plastic Comb Binding Machine"/>
    <n v="407.976"/>
  </r>
  <r>
    <n v="15"/>
    <s v="US-2016-118983"/>
    <d v="2016-11-22T00:00:00"/>
    <x v="0"/>
    <x v="1"/>
    <d v="2016-11-26T00:00:00"/>
    <n v="4"/>
    <x v="1"/>
    <s v="HP-14815"/>
    <x v="6"/>
    <x v="2"/>
    <s v="United States"/>
    <s v="Fort Worth"/>
    <s v="Texas"/>
    <n v="76106"/>
    <x v="2"/>
    <s v="OFF-AP-10002311"/>
    <x v="1"/>
    <x v="9"/>
    <s v="Holmes Replacement Filter for HEPA Air Cleaner, Very Large Room, HEPA Filter"/>
    <n v="68.81"/>
  </r>
  <r>
    <n v="16"/>
    <s v="US-2016-118983"/>
    <d v="2016-11-22T00:00:00"/>
    <x v="0"/>
    <x v="1"/>
    <d v="2016-11-26T00:00:00"/>
    <n v="4"/>
    <x v="1"/>
    <s v="HP-14815"/>
    <x v="6"/>
    <x v="2"/>
    <s v="United States"/>
    <s v="Fort Worth"/>
    <s v="Texas"/>
    <n v="76106"/>
    <x v="2"/>
    <s v="OFF-BI-10000756"/>
    <x v="1"/>
    <x v="8"/>
    <s v="Storex DuraTech Recycled Plastic Frosted Binders"/>
    <n v="2.544"/>
  </r>
  <r>
    <n v="17"/>
    <s v="CA-2015-105893"/>
    <d v="2015-11-11T00:00:00"/>
    <x v="0"/>
    <x v="2"/>
    <d v="2015-11-18T00:00:00"/>
    <n v="7"/>
    <x v="1"/>
    <s v="PK-19075"/>
    <x v="7"/>
    <x v="0"/>
    <s v="United States"/>
    <s v="Madison"/>
    <s v="Wisconsin"/>
    <n v="53711"/>
    <x v="2"/>
    <s v="OFF-ST-10004186"/>
    <x v="1"/>
    <x v="4"/>
    <s v="Stur-D-Stor Shelving, Vertical 5-Shelf: 72&quot;H x 36&quot;W x 18 1/2&quot;D"/>
    <n v="665.88"/>
  </r>
  <r>
    <n v="18"/>
    <s v="CA-2015-167164"/>
    <d v="2015-05-13T00:00:00"/>
    <x v="5"/>
    <x v="2"/>
    <d v="2015-05-15T00:00:00"/>
    <n v="2"/>
    <x v="0"/>
    <s v="AG-10270"/>
    <x v="8"/>
    <x v="0"/>
    <s v="United States"/>
    <s v="West Jordan"/>
    <s v="Utah"/>
    <n v="84084"/>
    <x v="1"/>
    <s v="OFF-ST-10000107"/>
    <x v="1"/>
    <x v="4"/>
    <s v="Fellowes Super Stor/Drawer"/>
    <n v="55.5"/>
  </r>
  <r>
    <n v="19"/>
    <s v="CA-2015-143336"/>
    <d v="2015-08-27T00:00:00"/>
    <x v="6"/>
    <x v="2"/>
    <d v="2015-09-01T00:00:00"/>
    <n v="5"/>
    <x v="0"/>
    <s v="ZD-21925"/>
    <x v="9"/>
    <x v="0"/>
    <s v="United States"/>
    <s v="San Francisco"/>
    <s v="California"/>
    <n v="94109"/>
    <x v="1"/>
    <s v="OFF-AR-10003056"/>
    <x v="1"/>
    <x v="6"/>
    <s v="Newell 341"/>
    <n v="8.56"/>
  </r>
  <r>
    <n v="20"/>
    <s v="CA-2015-143336"/>
    <d v="2015-08-27T00:00:00"/>
    <x v="6"/>
    <x v="2"/>
    <d v="2015-09-01T00:00:00"/>
    <n v="5"/>
    <x v="0"/>
    <s v="ZD-21925"/>
    <x v="9"/>
    <x v="0"/>
    <s v="United States"/>
    <s v="San Francisco"/>
    <s v="California"/>
    <n v="94109"/>
    <x v="1"/>
    <s v="TEC-PH-10001949"/>
    <x v="2"/>
    <x v="7"/>
    <s v="Cisco SPA 501G IP Phone"/>
    <n v="213.48"/>
  </r>
  <r>
    <n v="21"/>
    <s v="CA-2015-143336"/>
    <d v="2015-08-27T00:00:00"/>
    <x v="6"/>
    <x v="2"/>
    <d v="2015-09-01T00:00:00"/>
    <n v="5"/>
    <x v="0"/>
    <s v="ZD-21925"/>
    <x v="9"/>
    <x v="0"/>
    <s v="United States"/>
    <s v="San Francisco"/>
    <s v="California"/>
    <n v="94109"/>
    <x v="1"/>
    <s v="OFF-BI-10002215"/>
    <x v="1"/>
    <x v="8"/>
    <s v="Wilson Jones Hanging View Binder, White, 1&quot;"/>
    <n v="22.72"/>
  </r>
  <r>
    <n v="22"/>
    <s v="CA-2017-137330"/>
    <d v="2017-12-09T00:00:00"/>
    <x v="4"/>
    <x v="0"/>
    <d v="2017-12-13T00:00:00"/>
    <n v="4"/>
    <x v="1"/>
    <s v="KB-16585"/>
    <x v="10"/>
    <x v="1"/>
    <s v="United States"/>
    <s v="Fremont"/>
    <s v="Nebraska"/>
    <n v="68025"/>
    <x v="2"/>
    <s v="OFF-AR-10000246"/>
    <x v="1"/>
    <x v="6"/>
    <s v="Newell 318"/>
    <n v="19.46"/>
  </r>
  <r>
    <n v="23"/>
    <s v="CA-2017-137330"/>
    <d v="2017-12-09T00:00:00"/>
    <x v="4"/>
    <x v="0"/>
    <d v="2017-12-13T00:00:00"/>
    <n v="4"/>
    <x v="1"/>
    <s v="KB-16585"/>
    <x v="10"/>
    <x v="1"/>
    <s v="United States"/>
    <s v="Fremont"/>
    <s v="Nebraska"/>
    <n v="68025"/>
    <x v="2"/>
    <s v="OFF-AP-10001492"/>
    <x v="1"/>
    <x v="9"/>
    <s v="Acco Six-Outlet Power Strip, 4' Cord Length"/>
    <n v="60.34"/>
  </r>
  <r>
    <n v="24"/>
    <s v="US-2018-156909"/>
    <d v="2018-07-16T00:00:00"/>
    <x v="7"/>
    <x v="3"/>
    <d v="2018-07-18T00:00:00"/>
    <n v="2"/>
    <x v="0"/>
    <s v="SF-20065"/>
    <x v="11"/>
    <x v="0"/>
    <s v="United States"/>
    <s v="Philadelphia"/>
    <s v="Pennsylvania"/>
    <n v="19140"/>
    <x v="3"/>
    <s v="FUR-CH-10002774"/>
    <x v="0"/>
    <x v="1"/>
    <s v="Global Deluxe Stacking Chair, Gray"/>
    <n v="71.372"/>
  </r>
  <r>
    <n v="25"/>
    <s v="CA-2016-106320"/>
    <d v="2016-09-25T00:00:00"/>
    <x v="8"/>
    <x v="1"/>
    <d v="2016-09-30T00:00:00"/>
    <n v="5"/>
    <x v="1"/>
    <s v="EB-13870"/>
    <x v="12"/>
    <x v="0"/>
    <s v="United States"/>
    <s v="Orem"/>
    <s v="Utah"/>
    <n v="84057"/>
    <x v="1"/>
    <s v="FUR-TA-10000577"/>
    <x v="0"/>
    <x v="3"/>
    <s v="Bretford CR4500 Series Slim Rectangular Table"/>
    <n v="1044.6300000000001"/>
  </r>
  <r>
    <n v="26"/>
    <s v="CA-2017-121755"/>
    <d v="2017-01-16T00:00:00"/>
    <x v="9"/>
    <x v="0"/>
    <d v="2017-01-20T00:00:00"/>
    <n v="4"/>
    <x v="0"/>
    <s v="EH-13945"/>
    <x v="13"/>
    <x v="0"/>
    <s v="United States"/>
    <s v="Los Angeles"/>
    <s v="California"/>
    <n v="90049"/>
    <x v="1"/>
    <s v="OFF-BI-10001634"/>
    <x v="1"/>
    <x v="8"/>
    <s v="Wilson Jones Active Use Binders"/>
    <n v="11.648"/>
  </r>
  <r>
    <n v="27"/>
    <s v="CA-2017-121755"/>
    <d v="2017-01-16T00:00:00"/>
    <x v="9"/>
    <x v="0"/>
    <d v="2017-01-20T00:00:00"/>
    <n v="4"/>
    <x v="0"/>
    <s v="EH-13945"/>
    <x v="13"/>
    <x v="0"/>
    <s v="United States"/>
    <s v="Los Angeles"/>
    <s v="California"/>
    <n v="90049"/>
    <x v="1"/>
    <s v="TEC-AC-10003027"/>
    <x v="2"/>
    <x v="11"/>
    <s v="ImationÂ 8GB Mini TravelDrive USB 2.0Â Flash Drive"/>
    <n v="90.57"/>
  </r>
  <r>
    <n v="28"/>
    <s v="US-2016-150630"/>
    <d v="2016-09-17T00:00:00"/>
    <x v="8"/>
    <x v="1"/>
    <d v="2016-09-21T00:00:00"/>
    <n v="4"/>
    <x v="1"/>
    <s v="TB-21520"/>
    <x v="14"/>
    <x v="0"/>
    <s v="United States"/>
    <s v="Philadelphia"/>
    <s v="Pennsylvania"/>
    <n v="19140"/>
    <x v="3"/>
    <s v="FUR-BO-10004834"/>
    <x v="0"/>
    <x v="0"/>
    <s v="Riverside Palais Royal Lawyers Bookcase, Royale Cherry Finish"/>
    <n v="3083.43"/>
  </r>
  <r>
    <n v="29"/>
    <s v="US-2016-150630"/>
    <d v="2016-09-17T00:00:00"/>
    <x v="8"/>
    <x v="1"/>
    <d v="2016-09-21T00:00:00"/>
    <n v="4"/>
    <x v="1"/>
    <s v="TB-21520"/>
    <x v="14"/>
    <x v="0"/>
    <s v="United States"/>
    <s v="Philadelphia"/>
    <s v="Pennsylvania"/>
    <n v="19140"/>
    <x v="3"/>
    <s v="OFF-BI-10000474"/>
    <x v="1"/>
    <x v="8"/>
    <s v="Avery Recycled Flexi-View Covers for Binding Systems"/>
    <n v="9.6180000000000003"/>
  </r>
  <r>
    <n v="30"/>
    <s v="US-2016-150630"/>
    <d v="2016-09-17T00:00:00"/>
    <x v="8"/>
    <x v="1"/>
    <d v="2016-09-21T00:00:00"/>
    <n v="4"/>
    <x v="1"/>
    <s v="TB-21520"/>
    <x v="14"/>
    <x v="0"/>
    <s v="United States"/>
    <s v="Philadelphia"/>
    <s v="Pennsylvania"/>
    <n v="19140"/>
    <x v="3"/>
    <s v="FUR-FU-10004848"/>
    <x v="0"/>
    <x v="5"/>
    <s v="Howard Miller 13-3/4&quot; Diameter Brushed Chrome Round Wall Clock"/>
    <n v="124.2"/>
  </r>
  <r>
    <n v="31"/>
    <s v="US-2016-150630"/>
    <d v="2016-09-17T00:00:00"/>
    <x v="8"/>
    <x v="1"/>
    <d v="2016-09-21T00:00:00"/>
    <n v="4"/>
    <x v="1"/>
    <s v="TB-21520"/>
    <x v="14"/>
    <x v="0"/>
    <s v="United States"/>
    <s v="Philadelphia"/>
    <s v="Pennsylvania"/>
    <n v="19140"/>
    <x v="3"/>
    <s v="OFF-EN-10001509"/>
    <x v="1"/>
    <x v="12"/>
    <s v="Poly String Tie Envelopes"/>
    <n v="3.2639999999999998"/>
  </r>
  <r>
    <n v="32"/>
    <s v="US-2016-150630"/>
    <d v="2016-09-17T00:00:00"/>
    <x v="8"/>
    <x v="1"/>
    <d v="2016-09-21T00:00:00"/>
    <n v="4"/>
    <x v="1"/>
    <s v="TB-21520"/>
    <x v="14"/>
    <x v="0"/>
    <s v="United States"/>
    <s v="Philadelphia"/>
    <s v="Pennsylvania"/>
    <n v="19140"/>
    <x v="3"/>
    <s v="OFF-AR-10004042"/>
    <x v="1"/>
    <x v="6"/>
    <s v="BOSTON Model 1800 Electric Pencil Sharpeners, Putty/Woodgrain"/>
    <n v="86.304000000000002"/>
  </r>
  <r>
    <n v="33"/>
    <s v="US-2016-150630"/>
    <d v="2016-09-17T00:00:00"/>
    <x v="8"/>
    <x v="1"/>
    <d v="2016-09-21T00:00:00"/>
    <n v="4"/>
    <x v="1"/>
    <s v="TB-21520"/>
    <x v="14"/>
    <x v="0"/>
    <s v="United States"/>
    <s v="Philadelphia"/>
    <s v="Pennsylvania"/>
    <n v="19140"/>
    <x v="3"/>
    <s v="OFF-BI-10001525"/>
    <x v="1"/>
    <x v="8"/>
    <s v="Acco Pressboard Covers with Storage Hooks, 14 7/8&quot; x 11&quot;, Executive Red"/>
    <n v="6.8579999999999997"/>
  </r>
  <r>
    <n v="34"/>
    <s v="US-2016-150630"/>
    <d v="2016-09-17T00:00:00"/>
    <x v="8"/>
    <x v="1"/>
    <d v="2016-09-21T00:00:00"/>
    <n v="4"/>
    <x v="1"/>
    <s v="TB-21520"/>
    <x v="14"/>
    <x v="0"/>
    <s v="United States"/>
    <s v="Philadelphia"/>
    <s v="Pennsylvania"/>
    <n v="19140"/>
    <x v="3"/>
    <s v="OFF-AR-10001683"/>
    <x v="1"/>
    <x v="6"/>
    <s v="Lumber Crayons"/>
    <n v="15.76"/>
  </r>
  <r>
    <n v="35"/>
    <s v="CA-2018-107727"/>
    <d v="2018-10-19T00:00:00"/>
    <x v="2"/>
    <x v="3"/>
    <d v="2018-10-23T00:00:00"/>
    <n v="4"/>
    <x v="0"/>
    <s v="MA-17560"/>
    <x v="15"/>
    <x v="2"/>
    <s v="United States"/>
    <s v="Houston"/>
    <s v="Texas"/>
    <n v="77095"/>
    <x v="2"/>
    <s v="OFF-PA-10000249"/>
    <x v="1"/>
    <x v="10"/>
    <s v="Easy-staple paper"/>
    <n v="29.472000000000001"/>
  </r>
  <r>
    <n v="36"/>
    <s v="CA-2017-117590"/>
    <d v="2017-12-08T00:00:00"/>
    <x v="4"/>
    <x v="0"/>
    <d v="2017-12-10T00:00:00"/>
    <n v="2"/>
    <x v="2"/>
    <s v="GH-14485"/>
    <x v="16"/>
    <x v="1"/>
    <s v="United States"/>
    <s v="Richardson"/>
    <s v="Texas"/>
    <n v="75080"/>
    <x v="2"/>
    <s v="TEC-PH-10004977"/>
    <x v="2"/>
    <x v="7"/>
    <s v="GE 30524EE4"/>
    <n v="1097.5440000000001"/>
  </r>
  <r>
    <n v="37"/>
    <s v="CA-2017-117590"/>
    <d v="2017-12-08T00:00:00"/>
    <x v="4"/>
    <x v="0"/>
    <d v="2017-12-10T00:00:00"/>
    <n v="2"/>
    <x v="2"/>
    <s v="GH-14485"/>
    <x v="16"/>
    <x v="1"/>
    <s v="United States"/>
    <s v="Richardson"/>
    <s v="Texas"/>
    <n v="75080"/>
    <x v="2"/>
    <s v="FUR-FU-10003664"/>
    <x v="0"/>
    <x v="5"/>
    <s v="Electrix Architect's Clamp-On Swing Arm Lamp, Black"/>
    <n v="190.92"/>
  </r>
  <r>
    <n v="38"/>
    <s v="CA-2016-117415"/>
    <d v="2016-12-27T00:00:00"/>
    <x v="4"/>
    <x v="1"/>
    <d v="2016-12-31T00:00:00"/>
    <n v="4"/>
    <x v="1"/>
    <s v="SN-20710"/>
    <x v="17"/>
    <x v="2"/>
    <s v="United States"/>
    <s v="Houston"/>
    <s v="Texas"/>
    <n v="77041"/>
    <x v="2"/>
    <s v="OFF-EN-10002986"/>
    <x v="1"/>
    <x v="12"/>
    <s v="#10-4 1/8&quot; x 9 1/2&quot; Premium Diagonal Seam Envelopes"/>
    <n v="113.328"/>
  </r>
  <r>
    <n v="39"/>
    <s v="CA-2016-117415"/>
    <d v="2016-12-27T00:00:00"/>
    <x v="4"/>
    <x v="1"/>
    <d v="2016-12-31T00:00:00"/>
    <n v="4"/>
    <x v="1"/>
    <s v="SN-20710"/>
    <x v="17"/>
    <x v="2"/>
    <s v="United States"/>
    <s v="Houston"/>
    <s v="Texas"/>
    <n v="77041"/>
    <x v="2"/>
    <s v="FUR-BO-10002545"/>
    <x v="0"/>
    <x v="0"/>
    <s v="Atlantic Metals Mobile 3-Shelf Bookcases, Custom Colors"/>
    <n v="532.39919999999995"/>
  </r>
  <r>
    <n v="40"/>
    <s v="CA-2016-117415"/>
    <d v="2016-12-27T00:00:00"/>
    <x v="4"/>
    <x v="1"/>
    <d v="2016-12-31T00:00:00"/>
    <n v="4"/>
    <x v="1"/>
    <s v="SN-20710"/>
    <x v="17"/>
    <x v="2"/>
    <s v="United States"/>
    <s v="Houston"/>
    <s v="Texas"/>
    <n v="77041"/>
    <x v="2"/>
    <s v="FUR-CH-10004218"/>
    <x v="0"/>
    <x v="1"/>
    <s v="Global Fabric Manager's Chair, Dark Gray"/>
    <n v="212.05799999999999"/>
  </r>
  <r>
    <n v="41"/>
    <s v="CA-2016-117415"/>
    <d v="2016-12-27T00:00:00"/>
    <x v="4"/>
    <x v="1"/>
    <d v="2016-12-31T00:00:00"/>
    <n v="4"/>
    <x v="1"/>
    <s v="SN-20710"/>
    <x v="17"/>
    <x v="2"/>
    <s v="United States"/>
    <s v="Houston"/>
    <s v="Texas"/>
    <n v="77041"/>
    <x v="2"/>
    <s v="TEC-PH-10000486"/>
    <x v="2"/>
    <x v="7"/>
    <s v="Plantronics HL10 Handset Lifter"/>
    <n v="371.16800000000001"/>
  </r>
  <r>
    <n v="42"/>
    <s v="CA-2018-120999"/>
    <d v="2018-09-10T00:00:00"/>
    <x v="8"/>
    <x v="3"/>
    <d v="2018-09-15T00:00:00"/>
    <n v="5"/>
    <x v="1"/>
    <s v="LC-16930"/>
    <x v="18"/>
    <x v="1"/>
    <s v="United States"/>
    <s v="Naperville"/>
    <s v="Illinois"/>
    <n v="60540"/>
    <x v="2"/>
    <s v="TEC-PH-10004093"/>
    <x v="2"/>
    <x v="7"/>
    <s v="Panasonic Kx-TS550"/>
    <n v="147.16800000000001"/>
  </r>
  <r>
    <n v="43"/>
    <s v="CA-2017-101343"/>
    <d v="2017-07-17T00:00:00"/>
    <x v="7"/>
    <x v="0"/>
    <d v="2017-07-22T00:00:00"/>
    <n v="5"/>
    <x v="1"/>
    <s v="RA-19885"/>
    <x v="19"/>
    <x v="1"/>
    <s v="United States"/>
    <s v="Los Angeles"/>
    <s v="California"/>
    <n v="90049"/>
    <x v="1"/>
    <s v="OFF-ST-10003479"/>
    <x v="1"/>
    <x v="4"/>
    <s v="Eldon Base for stackable storage shelf, platinum"/>
    <n v="77.88"/>
  </r>
  <r>
    <n v="44"/>
    <s v="CA-2018-139619"/>
    <d v="2018-09-19T00:00:00"/>
    <x v="8"/>
    <x v="3"/>
    <d v="2018-09-23T00:00:00"/>
    <n v="4"/>
    <x v="1"/>
    <s v="ES-14080"/>
    <x v="20"/>
    <x v="1"/>
    <s v="United States"/>
    <s v="Melbourne"/>
    <s v="Florida"/>
    <n v="32935"/>
    <x v="0"/>
    <s v="OFF-ST-10003282"/>
    <x v="1"/>
    <x v="4"/>
    <s v="Advantus 10-Drawer Portable Organizer, Chrome Metal Frame, Smoke Drawers"/>
    <n v="95.616"/>
  </r>
  <r>
    <n v="45"/>
    <s v="CA-2017-118255"/>
    <d v="2017-03-11T00:00:00"/>
    <x v="10"/>
    <x v="0"/>
    <d v="2017-03-13T00:00:00"/>
    <n v="2"/>
    <x v="2"/>
    <s v="ON-18715"/>
    <x v="21"/>
    <x v="1"/>
    <s v="United States"/>
    <s v="Eagan"/>
    <s v="Minnesota"/>
    <n v="55122"/>
    <x v="2"/>
    <s v="TEC-AC-10000171"/>
    <x v="2"/>
    <x v="11"/>
    <s v="Verbatim 25 GB 6x Blu-ray Single Layer Recordable Disc, 25/Pack"/>
    <n v="45.98"/>
  </r>
  <r>
    <n v="46"/>
    <s v="CA-2017-118255"/>
    <d v="2017-03-11T00:00:00"/>
    <x v="10"/>
    <x v="0"/>
    <d v="2017-03-13T00:00:00"/>
    <n v="2"/>
    <x v="2"/>
    <s v="ON-18715"/>
    <x v="21"/>
    <x v="1"/>
    <s v="United States"/>
    <s v="Eagan"/>
    <s v="Minnesota"/>
    <n v="55122"/>
    <x v="2"/>
    <s v="OFF-BI-10003291"/>
    <x v="1"/>
    <x v="8"/>
    <s v="Wilson Jones Leather-Like Binders with DublLock Round Rings"/>
    <n v="17.46"/>
  </r>
  <r>
    <n v="47"/>
    <s v="CA-2015-146703"/>
    <d v="2015-10-20T00:00:00"/>
    <x v="2"/>
    <x v="2"/>
    <d v="2015-10-25T00:00:00"/>
    <n v="5"/>
    <x v="0"/>
    <s v="PO-18865"/>
    <x v="22"/>
    <x v="0"/>
    <s v="United States"/>
    <s v="Westland"/>
    <s v="Michigan"/>
    <n v="48185"/>
    <x v="2"/>
    <s v="OFF-ST-10001713"/>
    <x v="1"/>
    <x v="4"/>
    <s v="Gould Plastics 9-Pocket Panel Bin, 18-3/8w x 5-1/4d x 20-1/2h, Black"/>
    <n v="211.96"/>
  </r>
  <r>
    <n v="48"/>
    <s v="CA-2017-169194"/>
    <d v="2017-06-20T00:00:00"/>
    <x v="1"/>
    <x v="0"/>
    <d v="2017-06-25T00:00:00"/>
    <n v="5"/>
    <x v="1"/>
    <s v="LH-16900"/>
    <x v="23"/>
    <x v="0"/>
    <s v="United States"/>
    <s v="Dover"/>
    <s v="Delaware"/>
    <n v="19901"/>
    <x v="3"/>
    <s v="TEC-AC-10002167"/>
    <x v="2"/>
    <x v="11"/>
    <s v="ImationÂ 8gb Micro Traveldrive Usb 2.0Â Flash Drive"/>
    <n v="45"/>
  </r>
  <r>
    <n v="49"/>
    <s v="CA-2017-169194"/>
    <d v="2017-06-20T00:00:00"/>
    <x v="1"/>
    <x v="0"/>
    <d v="2017-06-25T00:00:00"/>
    <n v="5"/>
    <x v="1"/>
    <s v="LH-16900"/>
    <x v="23"/>
    <x v="0"/>
    <s v="United States"/>
    <s v="Dover"/>
    <s v="Delaware"/>
    <n v="19901"/>
    <x v="3"/>
    <s v="TEC-PH-10003988"/>
    <x v="2"/>
    <x v="7"/>
    <s v="LF Elite 3D Dazzle Designer Hard Case Cover, Lf Stylus Pen and Wiper For Apple Iphone 5c Mini Lite"/>
    <n v="21.8"/>
  </r>
  <r>
    <n v="50"/>
    <s v="CA-2016-115742"/>
    <d v="2016-04-18T00:00:00"/>
    <x v="3"/>
    <x v="1"/>
    <d v="2016-04-22T00:00:00"/>
    <n v="4"/>
    <x v="1"/>
    <s v="DP-13000"/>
    <x v="24"/>
    <x v="0"/>
    <s v="United States"/>
    <s v="New Albany"/>
    <s v="Indiana"/>
    <n v="47150"/>
    <x v="2"/>
    <s v="OFF-BI-10004410"/>
    <x v="1"/>
    <x v="8"/>
    <s v="C-Line Peel &amp; Stick Add-On Filing Pockets, 8-3/4 x 5-1/8, 10/Pack"/>
    <n v="38.22"/>
  </r>
  <r>
    <n v="51"/>
    <s v="CA-2016-115742"/>
    <d v="2016-04-18T00:00:00"/>
    <x v="3"/>
    <x v="1"/>
    <d v="2016-04-22T00:00:00"/>
    <n v="4"/>
    <x v="1"/>
    <s v="DP-13000"/>
    <x v="24"/>
    <x v="0"/>
    <s v="United States"/>
    <s v="New Albany"/>
    <s v="Indiana"/>
    <n v="47150"/>
    <x v="2"/>
    <s v="OFF-LA-10002762"/>
    <x v="1"/>
    <x v="2"/>
    <s v="Avery 485"/>
    <n v="75.180000000000007"/>
  </r>
  <r>
    <n v="52"/>
    <s v="CA-2016-115742"/>
    <d v="2016-04-18T00:00:00"/>
    <x v="3"/>
    <x v="1"/>
    <d v="2016-04-22T00:00:00"/>
    <n v="4"/>
    <x v="1"/>
    <s v="DP-13000"/>
    <x v="24"/>
    <x v="0"/>
    <s v="United States"/>
    <s v="New Albany"/>
    <s v="Indiana"/>
    <n v="47150"/>
    <x v="2"/>
    <s v="FUR-FU-10001706"/>
    <x v="0"/>
    <x v="5"/>
    <s v="Longer-Life Soft White Bulbs"/>
    <n v="6.16"/>
  </r>
  <r>
    <n v="53"/>
    <s v="CA-2016-115742"/>
    <d v="2016-04-18T00:00:00"/>
    <x v="3"/>
    <x v="1"/>
    <d v="2016-04-22T00:00:00"/>
    <n v="4"/>
    <x v="1"/>
    <s v="DP-13000"/>
    <x v="24"/>
    <x v="0"/>
    <s v="United States"/>
    <s v="New Albany"/>
    <s v="Indiana"/>
    <n v="47150"/>
    <x v="2"/>
    <s v="FUR-CH-10003061"/>
    <x v="0"/>
    <x v="1"/>
    <s v="Global Leather Task Chair, Black"/>
    <n v="89.99"/>
  </r>
  <r>
    <n v="54"/>
    <s v="CA-2017-105816"/>
    <d v="2017-12-11T00:00:00"/>
    <x v="4"/>
    <x v="0"/>
    <d v="2017-12-17T00:00:00"/>
    <n v="6"/>
    <x v="1"/>
    <s v="JM-15265"/>
    <x v="25"/>
    <x v="1"/>
    <s v="United States"/>
    <s v="New York City"/>
    <s v="New York"/>
    <n v="10024"/>
    <x v="3"/>
    <s v="OFF-FA-10000304"/>
    <x v="1"/>
    <x v="13"/>
    <s v="Advantus Push Pins"/>
    <n v="15.26"/>
  </r>
  <r>
    <n v="55"/>
    <s v="CA-2017-105816"/>
    <d v="2017-12-11T00:00:00"/>
    <x v="4"/>
    <x v="0"/>
    <d v="2017-12-17T00:00:00"/>
    <n v="6"/>
    <x v="1"/>
    <s v="JM-15265"/>
    <x v="25"/>
    <x v="1"/>
    <s v="United States"/>
    <s v="New York City"/>
    <s v="New York"/>
    <n v="10024"/>
    <x v="3"/>
    <s v="TEC-PH-10002447"/>
    <x v="2"/>
    <x v="7"/>
    <s v="AT&amp;T CL83451 4-Handset Telephone"/>
    <n v="1029.95"/>
  </r>
  <r>
    <n v="56"/>
    <s v="CA-2017-111682"/>
    <d v="2017-06-17T00:00:00"/>
    <x v="1"/>
    <x v="0"/>
    <d v="2017-06-18T00:00:00"/>
    <n v="1"/>
    <x v="2"/>
    <s v="TB-21055"/>
    <x v="26"/>
    <x v="0"/>
    <s v="United States"/>
    <s v="Troy"/>
    <s v="New York"/>
    <n v="12180"/>
    <x v="3"/>
    <s v="OFF-ST-10000604"/>
    <x v="1"/>
    <x v="4"/>
    <s v="Home/Office Personal File Carts"/>
    <n v="208.56"/>
  </r>
  <r>
    <n v="57"/>
    <s v="CA-2017-111682"/>
    <d v="2017-06-17T00:00:00"/>
    <x v="1"/>
    <x v="0"/>
    <d v="2017-06-18T00:00:00"/>
    <n v="1"/>
    <x v="2"/>
    <s v="TB-21055"/>
    <x v="26"/>
    <x v="0"/>
    <s v="United States"/>
    <s v="Troy"/>
    <s v="New York"/>
    <n v="12180"/>
    <x v="3"/>
    <s v="OFF-PA-10001569"/>
    <x v="1"/>
    <x v="10"/>
    <s v="Xerox 232"/>
    <n v="32.4"/>
  </r>
  <r>
    <n v="58"/>
    <s v="CA-2017-111682"/>
    <d v="2017-06-17T00:00:00"/>
    <x v="1"/>
    <x v="0"/>
    <d v="2017-06-18T00:00:00"/>
    <n v="1"/>
    <x v="2"/>
    <s v="TB-21055"/>
    <x v="26"/>
    <x v="0"/>
    <s v="United States"/>
    <s v="Troy"/>
    <s v="New York"/>
    <n v="12180"/>
    <x v="3"/>
    <s v="FUR-CH-10003968"/>
    <x v="0"/>
    <x v="1"/>
    <s v="Novimex Turbo Task Chair"/>
    <n v="319.41000000000003"/>
  </r>
  <r>
    <n v="59"/>
    <s v="CA-2017-111682"/>
    <d v="2017-06-17T00:00:00"/>
    <x v="1"/>
    <x v="0"/>
    <d v="2017-06-18T00:00:00"/>
    <n v="1"/>
    <x v="2"/>
    <s v="TB-21055"/>
    <x v="26"/>
    <x v="0"/>
    <s v="United States"/>
    <s v="Troy"/>
    <s v="New York"/>
    <n v="12180"/>
    <x v="3"/>
    <s v="OFF-PA-10000587"/>
    <x v="1"/>
    <x v="10"/>
    <s v="Array Parchment Paper, Assorted Colors"/>
    <n v="14.56"/>
  </r>
  <r>
    <n v="60"/>
    <s v="CA-2017-111682"/>
    <d v="2017-06-17T00:00:00"/>
    <x v="1"/>
    <x v="0"/>
    <d v="2017-06-18T00:00:00"/>
    <n v="1"/>
    <x v="2"/>
    <s v="TB-21055"/>
    <x v="26"/>
    <x v="0"/>
    <s v="United States"/>
    <s v="Troy"/>
    <s v="New York"/>
    <n v="12180"/>
    <x v="3"/>
    <s v="TEC-AC-10002167"/>
    <x v="2"/>
    <x v="11"/>
    <s v="ImationÂ 8gb Micro Traveldrive Usb 2.0Â Flash Drive"/>
    <n v="30"/>
  </r>
  <r>
    <n v="61"/>
    <s v="CA-2017-111682"/>
    <d v="2017-06-17T00:00:00"/>
    <x v="1"/>
    <x v="0"/>
    <d v="2017-06-18T00:00:00"/>
    <n v="1"/>
    <x v="2"/>
    <s v="TB-21055"/>
    <x v="26"/>
    <x v="0"/>
    <s v="United States"/>
    <s v="Troy"/>
    <s v="New York"/>
    <n v="12180"/>
    <x v="3"/>
    <s v="OFF-BI-10001460"/>
    <x v="1"/>
    <x v="8"/>
    <s v="Plastic Binding Combs"/>
    <n v="48.48"/>
  </r>
  <r>
    <n v="62"/>
    <s v="CA-2017-111682"/>
    <d v="2017-06-17T00:00:00"/>
    <x v="1"/>
    <x v="0"/>
    <d v="2017-06-18T00:00:00"/>
    <n v="1"/>
    <x v="2"/>
    <s v="TB-21055"/>
    <x v="26"/>
    <x v="0"/>
    <s v="United States"/>
    <s v="Troy"/>
    <s v="New York"/>
    <n v="12180"/>
    <x v="3"/>
    <s v="OFF-AR-10001868"/>
    <x v="1"/>
    <x v="6"/>
    <s v="Prang Dustless Chalk Sticks"/>
    <n v="1.68"/>
  </r>
  <r>
    <n v="63"/>
    <s v="CA-2016-135545"/>
    <d v="2016-11-24T00:00:00"/>
    <x v="0"/>
    <x v="1"/>
    <d v="2016-11-30T00:00:00"/>
    <n v="6"/>
    <x v="1"/>
    <s v="KM-16720"/>
    <x v="27"/>
    <x v="0"/>
    <s v="United States"/>
    <s v="Los Angeles"/>
    <s v="California"/>
    <n v="90004"/>
    <x v="1"/>
    <s v="TEC-AC-10004633"/>
    <x v="2"/>
    <x v="11"/>
    <s v="Verbatim 25 GB 6x Blu-ray Single Layer Recordable Disc, 3/Pack"/>
    <n v="13.98"/>
  </r>
  <r>
    <n v="64"/>
    <s v="CA-2016-135545"/>
    <d v="2016-11-24T00:00:00"/>
    <x v="0"/>
    <x v="1"/>
    <d v="2016-11-30T00:00:00"/>
    <n v="6"/>
    <x v="1"/>
    <s v="KM-16720"/>
    <x v="27"/>
    <x v="0"/>
    <s v="United States"/>
    <s v="Los Angeles"/>
    <s v="California"/>
    <n v="90004"/>
    <x v="1"/>
    <s v="OFF-BI-10001078"/>
    <x v="1"/>
    <x v="8"/>
    <s v="Acco PRESSTEX Data Binder with Storage Hooks, Dark Blue, 14 7/8&quot; X 11&quot;"/>
    <n v="25.824000000000002"/>
  </r>
  <r>
    <n v="65"/>
    <s v="CA-2016-135545"/>
    <d v="2016-11-24T00:00:00"/>
    <x v="0"/>
    <x v="1"/>
    <d v="2016-11-30T00:00:00"/>
    <n v="6"/>
    <x v="1"/>
    <s v="KM-16720"/>
    <x v="27"/>
    <x v="0"/>
    <s v="United States"/>
    <s v="Los Angeles"/>
    <s v="California"/>
    <n v="90004"/>
    <x v="1"/>
    <s v="OFF-PA-10003892"/>
    <x v="1"/>
    <x v="10"/>
    <s v="Xerox 1943"/>
    <n v="146.72999999999999"/>
  </r>
  <r>
    <n v="66"/>
    <s v="CA-2016-135545"/>
    <d v="2016-11-24T00:00:00"/>
    <x v="0"/>
    <x v="1"/>
    <d v="2016-11-30T00:00:00"/>
    <n v="6"/>
    <x v="1"/>
    <s v="KM-16720"/>
    <x v="27"/>
    <x v="0"/>
    <s v="United States"/>
    <s v="Los Angeles"/>
    <s v="California"/>
    <n v="90004"/>
    <x v="1"/>
    <s v="FUR-FU-10000397"/>
    <x v="0"/>
    <x v="5"/>
    <s v="Luxo Economy Swing Arm Lamp"/>
    <n v="79.760000000000005"/>
  </r>
  <r>
    <n v="67"/>
    <s v="US-2016-164175"/>
    <d v="2016-04-30T00:00:00"/>
    <x v="3"/>
    <x v="1"/>
    <d v="2016-05-05T00:00:00"/>
    <n v="5"/>
    <x v="1"/>
    <s v="PS-18970"/>
    <x v="28"/>
    <x v="2"/>
    <s v="United States"/>
    <s v="Chicago"/>
    <s v="Illinois"/>
    <n v="60610"/>
    <x v="2"/>
    <s v="FUR-CH-10001146"/>
    <x v="0"/>
    <x v="1"/>
    <s v="Global Value Mid-Back Manager's Chair, Gray"/>
    <n v="213.11500000000001"/>
  </r>
  <r>
    <n v="68"/>
    <s v="CA-2015-106376"/>
    <d v="2015-12-05T00:00:00"/>
    <x v="4"/>
    <x v="2"/>
    <d v="2015-12-10T00:00:00"/>
    <n v="5"/>
    <x v="1"/>
    <s v="BS-11590"/>
    <x v="29"/>
    <x v="1"/>
    <s v="United States"/>
    <s v="Gilbert"/>
    <s v="Arizona"/>
    <n v="85234"/>
    <x v="1"/>
    <s v="OFF-AR-10002671"/>
    <x v="1"/>
    <x v="6"/>
    <s v="Hunt BOSTON Model 1606 High-Volume Electric Pencil Sharpener, Beige"/>
    <n v="1113.0239999999999"/>
  </r>
  <r>
    <n v="69"/>
    <s v="CA-2015-106376"/>
    <d v="2015-12-05T00:00:00"/>
    <x v="4"/>
    <x v="2"/>
    <d v="2015-12-10T00:00:00"/>
    <n v="5"/>
    <x v="1"/>
    <s v="BS-11590"/>
    <x v="29"/>
    <x v="1"/>
    <s v="United States"/>
    <s v="Gilbert"/>
    <s v="Arizona"/>
    <n v="85234"/>
    <x v="1"/>
    <s v="TEC-PH-10002726"/>
    <x v="2"/>
    <x v="7"/>
    <s v="netTALK DUO VoIP Telephone Service"/>
    <n v="167.96799999999999"/>
  </r>
  <r>
    <n v="70"/>
    <s v="CA-2017-119823"/>
    <d v="2017-06-04T00:00:00"/>
    <x v="1"/>
    <x v="0"/>
    <d v="2017-06-06T00:00:00"/>
    <n v="2"/>
    <x v="2"/>
    <s v="KD-16270"/>
    <x v="30"/>
    <x v="0"/>
    <s v="United States"/>
    <s v="Springfield"/>
    <s v="Virginia"/>
    <n v="22153"/>
    <x v="0"/>
    <s v="OFF-PA-10000482"/>
    <x v="1"/>
    <x v="10"/>
    <s v="Snap-A-Way Black Print Carbonless Ruled Speed Letter, Triplicate"/>
    <n v="75.88"/>
  </r>
  <r>
    <n v="71"/>
    <s v="CA-2017-106075"/>
    <d v="2017-09-18T00:00:00"/>
    <x v="8"/>
    <x v="0"/>
    <d v="2017-09-23T00:00:00"/>
    <n v="5"/>
    <x v="1"/>
    <s v="HM-14980"/>
    <x v="31"/>
    <x v="0"/>
    <s v="United States"/>
    <s v="New York City"/>
    <s v="New York"/>
    <n v="10009"/>
    <x v="3"/>
    <s v="OFF-BI-10004654"/>
    <x v="1"/>
    <x v="8"/>
    <s v="Avery Binding System Hidden Tab Executive Style Index Sets"/>
    <n v="4.6159999999999997"/>
  </r>
  <r>
    <n v="72"/>
    <s v="CA-2018-114440"/>
    <d v="2018-09-14T00:00:00"/>
    <x v="8"/>
    <x v="3"/>
    <d v="2018-09-17T00:00:00"/>
    <n v="3"/>
    <x v="0"/>
    <s v="TB-21520"/>
    <x v="14"/>
    <x v="0"/>
    <s v="United States"/>
    <s v="Jackson"/>
    <s v="Michigan"/>
    <n v="49201"/>
    <x v="2"/>
    <s v="OFF-PA-10004675"/>
    <x v="1"/>
    <x v="10"/>
    <s v="Telephone Message Books with Fax/Mobile Section, 5 1/2&quot; x 3 3/16&quot;"/>
    <n v="19.05"/>
  </r>
  <r>
    <n v="73"/>
    <s v="US-2016-134026"/>
    <d v="2016-04-26T00:00:00"/>
    <x v="3"/>
    <x v="1"/>
    <d v="2016-05-02T00:00:00"/>
    <n v="6"/>
    <x v="1"/>
    <s v="JE-15745"/>
    <x v="32"/>
    <x v="0"/>
    <s v="United States"/>
    <s v="Memphis"/>
    <s v="Tennessee"/>
    <n v="38109"/>
    <x v="0"/>
    <s v="FUR-CH-10000513"/>
    <x v="0"/>
    <x v="1"/>
    <s v="High-Back Leather Manager's Chair"/>
    <n v="831.93600000000004"/>
  </r>
  <r>
    <n v="74"/>
    <s v="US-2016-134026"/>
    <d v="2016-04-26T00:00:00"/>
    <x v="3"/>
    <x v="1"/>
    <d v="2016-05-02T00:00:00"/>
    <n v="6"/>
    <x v="1"/>
    <s v="JE-15745"/>
    <x v="32"/>
    <x v="0"/>
    <s v="United States"/>
    <s v="Memphis"/>
    <s v="Tennessee"/>
    <n v="38109"/>
    <x v="0"/>
    <s v="FUR-FU-10003708"/>
    <x v="0"/>
    <x v="5"/>
    <s v="Tenex Traditional Chairmats for Medium Pile Carpet, Standard Lip, 36&quot; x 48&quot;"/>
    <n v="97.04"/>
  </r>
  <r>
    <n v="75"/>
    <s v="US-2016-134026"/>
    <d v="2016-04-26T00:00:00"/>
    <x v="3"/>
    <x v="1"/>
    <d v="2016-05-02T00:00:00"/>
    <n v="6"/>
    <x v="1"/>
    <s v="JE-15745"/>
    <x v="32"/>
    <x v="0"/>
    <s v="United States"/>
    <s v="Memphis"/>
    <s v="Tennessee"/>
    <n v="38109"/>
    <x v="0"/>
    <s v="OFF-ST-10004123"/>
    <x v="1"/>
    <x v="4"/>
    <s v="Safco Industrial Wire Shelving System"/>
    <n v="72.784000000000006"/>
  </r>
  <r>
    <n v="76"/>
    <s v="US-2018-118038"/>
    <d v="2018-12-09T00:00:00"/>
    <x v="4"/>
    <x v="3"/>
    <d v="2018-12-11T00:00:00"/>
    <n v="2"/>
    <x v="2"/>
    <s v="KB-16600"/>
    <x v="33"/>
    <x v="1"/>
    <s v="United States"/>
    <s v="Houston"/>
    <s v="Texas"/>
    <n v="77041"/>
    <x v="2"/>
    <s v="OFF-BI-10004182"/>
    <x v="1"/>
    <x v="8"/>
    <s v="Economy Binders"/>
    <n v="1.248"/>
  </r>
  <r>
    <n v="77"/>
    <s v="US-2018-118038"/>
    <d v="2018-12-09T00:00:00"/>
    <x v="4"/>
    <x v="3"/>
    <d v="2018-12-11T00:00:00"/>
    <n v="2"/>
    <x v="2"/>
    <s v="KB-16600"/>
    <x v="33"/>
    <x v="1"/>
    <s v="United States"/>
    <s v="Houston"/>
    <s v="Texas"/>
    <n v="77041"/>
    <x v="2"/>
    <s v="FUR-FU-10000260"/>
    <x v="0"/>
    <x v="5"/>
    <s v="6&quot; Cubicle Wall Clock, Black"/>
    <n v="9.7080000000000002"/>
  </r>
  <r>
    <n v="78"/>
    <s v="US-2018-118038"/>
    <d v="2018-12-09T00:00:00"/>
    <x v="4"/>
    <x v="3"/>
    <d v="2018-12-11T00:00:00"/>
    <n v="2"/>
    <x v="2"/>
    <s v="KB-16600"/>
    <x v="33"/>
    <x v="1"/>
    <s v="United States"/>
    <s v="Houston"/>
    <s v="Texas"/>
    <n v="77041"/>
    <x v="2"/>
    <s v="OFF-ST-10000615"/>
    <x v="1"/>
    <x v="4"/>
    <s v="SimpliFile Personal File, Black Granite, 15w x 6-15/16d x 11-1/4h"/>
    <n v="27.24"/>
  </r>
  <r>
    <n v="79"/>
    <s v="US-2015-147606"/>
    <d v="2015-11-26T00:00:00"/>
    <x v="0"/>
    <x v="2"/>
    <d v="2015-12-01T00:00:00"/>
    <n v="5"/>
    <x v="0"/>
    <s v="JE-15745"/>
    <x v="32"/>
    <x v="0"/>
    <s v="United States"/>
    <s v="Houston"/>
    <s v="Texas"/>
    <n v="77070"/>
    <x v="2"/>
    <s v="FUR-FU-10003194"/>
    <x v="0"/>
    <x v="5"/>
    <s v="Eldon Expressions Desk Accessory, Wood Pencil Holder, Oak"/>
    <n v="19.3"/>
  </r>
  <r>
    <n v="80"/>
    <s v="CA-2017-127208"/>
    <d v="2017-06-12T00:00:00"/>
    <x v="1"/>
    <x v="0"/>
    <d v="2017-06-15T00:00:00"/>
    <n v="3"/>
    <x v="2"/>
    <s v="SC-20770"/>
    <x v="34"/>
    <x v="1"/>
    <s v="United States"/>
    <s v="Decatur"/>
    <s v="Alabama"/>
    <n v="35601"/>
    <x v="0"/>
    <s v="OFF-AP-10002118"/>
    <x v="1"/>
    <x v="9"/>
    <s v="1.7 Cubic Foot Compact &quot;Cube&quot; Office Refrigerators"/>
    <n v="208.16"/>
  </r>
  <r>
    <n v="81"/>
    <s v="CA-2017-127208"/>
    <d v="2017-06-12T00:00:00"/>
    <x v="1"/>
    <x v="0"/>
    <d v="2017-06-15T00:00:00"/>
    <n v="3"/>
    <x v="2"/>
    <s v="SC-20770"/>
    <x v="34"/>
    <x v="1"/>
    <s v="United States"/>
    <s v="Decatur"/>
    <s v="Alabama"/>
    <n v="35601"/>
    <x v="0"/>
    <s v="OFF-BI-10002309"/>
    <x v="1"/>
    <x v="8"/>
    <s v="Avery Heavy-Duty EZD  Binder With Locking Rings"/>
    <n v="16.739999999999998"/>
  </r>
  <r>
    <n v="82"/>
    <s v="CA-2015-139451"/>
    <d v="2015-10-12T00:00:00"/>
    <x v="2"/>
    <x v="2"/>
    <d v="2015-10-16T00:00:00"/>
    <n v="4"/>
    <x v="1"/>
    <s v="DN-13690"/>
    <x v="35"/>
    <x v="0"/>
    <s v="United States"/>
    <s v="San Francisco"/>
    <s v="California"/>
    <n v="94122"/>
    <x v="1"/>
    <s v="OFF-AR-10002053"/>
    <x v="1"/>
    <x v="6"/>
    <s v="Premium Writing Pencils, Soft, #2 by Central Association for the Blind"/>
    <n v="14.9"/>
  </r>
  <r>
    <n v="83"/>
    <s v="CA-2015-139451"/>
    <d v="2015-10-12T00:00:00"/>
    <x v="2"/>
    <x v="2"/>
    <d v="2015-10-16T00:00:00"/>
    <n v="4"/>
    <x v="1"/>
    <s v="DN-13690"/>
    <x v="35"/>
    <x v="0"/>
    <s v="United States"/>
    <s v="San Francisco"/>
    <s v="California"/>
    <n v="94122"/>
    <x v="1"/>
    <s v="OFF-ST-10002370"/>
    <x v="1"/>
    <x v="4"/>
    <s v="Sortfiler Multipurpose Personal File Organizer, Black"/>
    <n v="21.39"/>
  </r>
  <r>
    <n v="84"/>
    <s v="CA-2016-149734"/>
    <d v="2016-09-03T00:00:00"/>
    <x v="8"/>
    <x v="1"/>
    <d v="2016-09-08T00:00:00"/>
    <n v="5"/>
    <x v="1"/>
    <s v="JC-16105"/>
    <x v="36"/>
    <x v="1"/>
    <s v="United States"/>
    <s v="Durham"/>
    <s v="North Carolina"/>
    <n v="27707"/>
    <x v="0"/>
    <s v="OFF-EN-10000927"/>
    <x v="1"/>
    <x v="12"/>
    <s v="Jet-Pak Recycled Peel 'N' Seal Padded Mailers"/>
    <n v="200.98400000000001"/>
  </r>
  <r>
    <n v="85"/>
    <s v="US-2018-119662"/>
    <d v="2018-11-13T00:00:00"/>
    <x v="0"/>
    <x v="3"/>
    <d v="2018-11-16T00:00:00"/>
    <n v="3"/>
    <x v="2"/>
    <s v="CS-12400"/>
    <x v="37"/>
    <x v="2"/>
    <s v="United States"/>
    <s v="Chicago"/>
    <s v="Illinois"/>
    <n v="60623"/>
    <x v="2"/>
    <s v="OFF-ST-10003656"/>
    <x v="1"/>
    <x v="4"/>
    <s v="Safco Industrial Wire Shelving"/>
    <n v="230.376"/>
  </r>
  <r>
    <n v="86"/>
    <s v="CA-2018-140088"/>
    <d v="2018-05-28T00:00:00"/>
    <x v="5"/>
    <x v="3"/>
    <d v="2018-05-30T00:00:00"/>
    <n v="2"/>
    <x v="0"/>
    <s v="PO-18865"/>
    <x v="22"/>
    <x v="0"/>
    <s v="United States"/>
    <s v="Columbia"/>
    <s v="South Carolina"/>
    <n v="29203"/>
    <x v="0"/>
    <s v="FUR-CH-10000863"/>
    <x v="0"/>
    <x v="1"/>
    <s v="Novimex Swivel Fabric Task Chair"/>
    <n v="301.95999999999998"/>
  </r>
  <r>
    <n v="87"/>
    <s v="CA-2018-155558"/>
    <d v="2018-10-26T00:00:00"/>
    <x v="2"/>
    <x v="3"/>
    <d v="2018-11-02T00:00:00"/>
    <n v="7"/>
    <x v="1"/>
    <s v="PG-18895"/>
    <x v="38"/>
    <x v="0"/>
    <s v="United States"/>
    <s v="Rochester"/>
    <s v="Minnesota"/>
    <n v="55901"/>
    <x v="2"/>
    <s v="TEC-AC-10001998"/>
    <x v="2"/>
    <x v="11"/>
    <s v="LogitechÂ LS21 Speaker System - PC Multimedia - 2.1-CH - Wired"/>
    <n v="19.989999999999998"/>
  </r>
  <r>
    <n v="88"/>
    <s v="CA-2018-155558"/>
    <d v="2018-10-26T00:00:00"/>
    <x v="2"/>
    <x v="3"/>
    <d v="2018-11-02T00:00:00"/>
    <n v="7"/>
    <x v="1"/>
    <s v="PG-18895"/>
    <x v="38"/>
    <x v="0"/>
    <s v="United States"/>
    <s v="Rochester"/>
    <s v="Minnesota"/>
    <n v="55901"/>
    <x v="2"/>
    <s v="OFF-LA-10000134"/>
    <x v="1"/>
    <x v="2"/>
    <s v="Avery 511"/>
    <n v="6.16"/>
  </r>
  <r>
    <n v="89"/>
    <s v="CA-2017-159695"/>
    <d v="2017-04-05T00:00:00"/>
    <x v="3"/>
    <x v="0"/>
    <d v="2017-04-10T00:00:00"/>
    <n v="5"/>
    <x v="0"/>
    <s v="GM-14455"/>
    <x v="39"/>
    <x v="2"/>
    <s v="United States"/>
    <s v="Houston"/>
    <s v="Texas"/>
    <n v="77095"/>
    <x v="2"/>
    <s v="OFF-ST-10003442"/>
    <x v="1"/>
    <x v="4"/>
    <s v="Eldon Portable Mobile Manager"/>
    <n v="158.36799999999999"/>
  </r>
  <r>
    <n v="90"/>
    <s v="CA-2017-109806"/>
    <d v="2017-09-17T00:00:00"/>
    <x v="8"/>
    <x v="0"/>
    <d v="2017-09-22T00:00:00"/>
    <n v="5"/>
    <x v="1"/>
    <s v="JS-15685"/>
    <x v="40"/>
    <x v="1"/>
    <s v="United States"/>
    <s v="Los Angeles"/>
    <s v="California"/>
    <n v="90036"/>
    <x v="1"/>
    <s v="OFF-AR-10004930"/>
    <x v="1"/>
    <x v="6"/>
    <s v="Turquoise Lead Holder with Pocket Clip"/>
    <n v="20.100000000000001"/>
  </r>
  <r>
    <n v="91"/>
    <s v="CA-2017-109806"/>
    <d v="2017-09-17T00:00:00"/>
    <x v="8"/>
    <x v="0"/>
    <d v="2017-09-22T00:00:00"/>
    <n v="5"/>
    <x v="1"/>
    <s v="JS-15685"/>
    <x v="40"/>
    <x v="1"/>
    <s v="United States"/>
    <s v="Los Angeles"/>
    <s v="California"/>
    <n v="90036"/>
    <x v="1"/>
    <s v="TEC-PH-10004093"/>
    <x v="2"/>
    <x v="7"/>
    <s v="Panasonic Kx-TS550"/>
    <n v="73.584000000000003"/>
  </r>
  <r>
    <n v="92"/>
    <s v="CA-2017-109806"/>
    <d v="2017-09-17T00:00:00"/>
    <x v="8"/>
    <x v="0"/>
    <d v="2017-09-22T00:00:00"/>
    <n v="5"/>
    <x v="1"/>
    <s v="JS-15685"/>
    <x v="40"/>
    <x v="1"/>
    <s v="United States"/>
    <s v="Los Angeles"/>
    <s v="California"/>
    <n v="90036"/>
    <x v="1"/>
    <s v="OFF-PA-10000304"/>
    <x v="1"/>
    <x v="10"/>
    <s v="Xerox 1995"/>
    <n v="6.48"/>
  </r>
  <r>
    <n v="93"/>
    <s v="CA-2016-149587"/>
    <d v="2016-01-31T00:00:00"/>
    <x v="9"/>
    <x v="1"/>
    <d v="2016-02-05T00:00:00"/>
    <n v="5"/>
    <x v="0"/>
    <s v="KB-16315"/>
    <x v="41"/>
    <x v="0"/>
    <s v="United States"/>
    <s v="Minneapolis"/>
    <s v="Minnesota"/>
    <n v="55407"/>
    <x v="2"/>
    <s v="OFF-PA-10003177"/>
    <x v="1"/>
    <x v="10"/>
    <s v="Xerox 1999"/>
    <n v="12.96"/>
  </r>
  <r>
    <n v="94"/>
    <s v="CA-2016-149587"/>
    <d v="2016-01-31T00:00:00"/>
    <x v="9"/>
    <x v="1"/>
    <d v="2016-02-05T00:00:00"/>
    <n v="5"/>
    <x v="0"/>
    <s v="KB-16315"/>
    <x v="41"/>
    <x v="0"/>
    <s v="United States"/>
    <s v="Minneapolis"/>
    <s v="Minnesota"/>
    <n v="55407"/>
    <x v="2"/>
    <s v="FUR-FU-10003799"/>
    <x v="0"/>
    <x v="5"/>
    <s v="Seth Thomas 13 1/2&quot; Wall Clock"/>
    <n v="53.34"/>
  </r>
  <r>
    <n v="95"/>
    <s v="CA-2016-149587"/>
    <d v="2016-01-31T00:00:00"/>
    <x v="9"/>
    <x v="1"/>
    <d v="2016-02-05T00:00:00"/>
    <n v="5"/>
    <x v="0"/>
    <s v="KB-16315"/>
    <x v="41"/>
    <x v="0"/>
    <s v="United States"/>
    <s v="Minneapolis"/>
    <s v="Minnesota"/>
    <n v="55407"/>
    <x v="2"/>
    <s v="OFF-BI-10002852"/>
    <x v="1"/>
    <x v="8"/>
    <s v="Ibico Standard Transparent Covers"/>
    <n v="32.96"/>
  </r>
  <r>
    <n v="96"/>
    <s v="US-2018-109484"/>
    <d v="2018-11-06T00:00:00"/>
    <x v="0"/>
    <x v="3"/>
    <d v="2018-11-12T00:00:00"/>
    <n v="6"/>
    <x v="1"/>
    <s v="RB-19705"/>
    <x v="42"/>
    <x v="2"/>
    <s v="United States"/>
    <s v="Portland"/>
    <s v="Oregon"/>
    <n v="97206"/>
    <x v="1"/>
    <s v="OFF-BI-10004738"/>
    <x v="1"/>
    <x v="8"/>
    <s v="Flexible Leather- Look Classic Collection Ring Binder"/>
    <n v="5.6820000000000004"/>
  </r>
  <r>
    <n v="97"/>
    <s v="CA-2018-161018"/>
    <d v="2018-11-09T00:00:00"/>
    <x v="0"/>
    <x v="3"/>
    <d v="2018-11-11T00:00:00"/>
    <n v="2"/>
    <x v="0"/>
    <s v="PN-18775"/>
    <x v="43"/>
    <x v="2"/>
    <s v="United States"/>
    <s v="New York City"/>
    <s v="New York"/>
    <n v="10009"/>
    <x v="3"/>
    <s v="FUR-FU-10000629"/>
    <x v="0"/>
    <x v="5"/>
    <s v="9-3/4 Diameter Round Wall Clock"/>
    <n v="96.53"/>
  </r>
  <r>
    <n v="98"/>
    <s v="CA-2018-157833"/>
    <d v="2018-06-17T00:00:00"/>
    <x v="1"/>
    <x v="3"/>
    <d v="2018-06-20T00:00:00"/>
    <n v="3"/>
    <x v="2"/>
    <s v="KD-16345"/>
    <x v="44"/>
    <x v="0"/>
    <s v="United States"/>
    <s v="San Francisco"/>
    <s v="California"/>
    <n v="94122"/>
    <x v="1"/>
    <s v="OFF-BI-10001721"/>
    <x v="1"/>
    <x v="8"/>
    <s v="Trimflex Flexible Post Binders"/>
    <n v="51.311999999999998"/>
  </r>
  <r>
    <n v="99"/>
    <s v="CA-2017-149223"/>
    <d v="2017-09-06T00:00:00"/>
    <x v="8"/>
    <x v="0"/>
    <d v="2017-09-11T00:00:00"/>
    <n v="5"/>
    <x v="1"/>
    <s v="ER-13855"/>
    <x v="45"/>
    <x v="1"/>
    <s v="United States"/>
    <s v="Saint Paul"/>
    <s v="Minnesota"/>
    <n v="55106"/>
    <x v="2"/>
    <s v="OFF-AP-10000358"/>
    <x v="1"/>
    <x v="9"/>
    <s v="Fellowes Basic Home/Office Series Surge Protectors"/>
    <n v="77.88"/>
  </r>
  <r>
    <n v="100"/>
    <s v="CA-2017-158568"/>
    <d v="2017-08-29T00:00:00"/>
    <x v="6"/>
    <x v="0"/>
    <d v="2017-09-02T00:00:00"/>
    <n v="4"/>
    <x v="1"/>
    <s v="RB-19465"/>
    <x v="46"/>
    <x v="2"/>
    <s v="United States"/>
    <s v="Chicago"/>
    <s v="Illinois"/>
    <n v="60610"/>
    <x v="2"/>
    <s v="OFF-PA-10003256"/>
    <x v="1"/>
    <x v="10"/>
    <s v="Avery Personal Creations Heavyweight Cards"/>
    <n v="64.623999999999995"/>
  </r>
  <r>
    <n v="101"/>
    <s v="CA-2017-158568"/>
    <d v="2017-08-29T00:00:00"/>
    <x v="6"/>
    <x v="0"/>
    <d v="2017-09-02T00:00:00"/>
    <n v="4"/>
    <x v="1"/>
    <s v="RB-19465"/>
    <x v="46"/>
    <x v="2"/>
    <s v="United States"/>
    <s v="Chicago"/>
    <s v="Illinois"/>
    <n v="60610"/>
    <x v="2"/>
    <s v="TEC-AC-10001767"/>
    <x v="2"/>
    <x v="11"/>
    <s v="SanDisk Ultra 64 GB MicroSDHC Class 10 Memory Card"/>
    <n v="95.975999999999999"/>
  </r>
  <r>
    <n v="102"/>
    <s v="CA-2017-158568"/>
    <d v="2017-08-29T00:00:00"/>
    <x v="6"/>
    <x v="0"/>
    <d v="2017-09-02T00:00:00"/>
    <n v="4"/>
    <x v="1"/>
    <s v="RB-19465"/>
    <x v="46"/>
    <x v="2"/>
    <s v="United States"/>
    <s v="Chicago"/>
    <s v="Illinois"/>
    <n v="60610"/>
    <x v="2"/>
    <s v="OFF-BI-10002609"/>
    <x v="1"/>
    <x v="8"/>
    <s v="Avery Hidden Tab Dividers for Binding Systems"/>
    <n v="1.788"/>
  </r>
  <r>
    <n v="103"/>
    <s v="CA-2017-129903"/>
    <d v="2017-12-01T00:00:00"/>
    <x v="4"/>
    <x v="0"/>
    <d v="2017-12-04T00:00:00"/>
    <n v="3"/>
    <x v="0"/>
    <s v="GZ-14470"/>
    <x v="47"/>
    <x v="0"/>
    <s v="United States"/>
    <s v="Rochester"/>
    <s v="Minnesota"/>
    <n v="55901"/>
    <x v="2"/>
    <s v="OFF-PA-10004040"/>
    <x v="1"/>
    <x v="10"/>
    <s v="Universal Premium White Copier/Laser Paper (20Lb. and 87 Bright)"/>
    <n v="23.92"/>
  </r>
  <r>
    <n v="104"/>
    <s v="US-2016-156867"/>
    <d v="2016-11-13T00:00:00"/>
    <x v="0"/>
    <x v="1"/>
    <d v="2016-11-17T00:00:00"/>
    <n v="4"/>
    <x v="1"/>
    <s v="LC-16870"/>
    <x v="48"/>
    <x v="0"/>
    <s v="United States"/>
    <s v="Aurora"/>
    <s v="Colorado"/>
    <n v="80013"/>
    <x v="1"/>
    <s v="TEC-AC-10001552"/>
    <x v="2"/>
    <x v="11"/>
    <s v="Logitech K350 2.4Ghz Wireless Keyboard"/>
    <n v="238.89599999999999"/>
  </r>
  <r>
    <n v="105"/>
    <s v="US-2016-156867"/>
    <d v="2016-11-13T00:00:00"/>
    <x v="0"/>
    <x v="1"/>
    <d v="2016-11-17T00:00:00"/>
    <n v="4"/>
    <x v="1"/>
    <s v="LC-16870"/>
    <x v="48"/>
    <x v="0"/>
    <s v="United States"/>
    <s v="Aurora"/>
    <s v="Colorado"/>
    <n v="80013"/>
    <x v="1"/>
    <s v="FUR-FU-10004006"/>
    <x v="0"/>
    <x v="5"/>
    <s v="Deflect-o DuraMat Lighweight, Studded, Beveled Mat for Low Pile Carpeting"/>
    <n v="102.36"/>
  </r>
  <r>
    <n v="106"/>
    <s v="US-2016-156867"/>
    <d v="2016-11-13T00:00:00"/>
    <x v="0"/>
    <x v="1"/>
    <d v="2016-11-17T00:00:00"/>
    <n v="4"/>
    <x v="1"/>
    <s v="LC-16870"/>
    <x v="48"/>
    <x v="0"/>
    <s v="United States"/>
    <s v="Aurora"/>
    <s v="Colorado"/>
    <n v="80013"/>
    <x v="1"/>
    <s v="OFF-BI-10002794"/>
    <x v="1"/>
    <x v="8"/>
    <s v="Avery Trapezoid Ring Binder, 3&quot; Capacity, Black, 1040 sheets"/>
    <n v="36.881999999999998"/>
  </r>
  <r>
    <n v="107"/>
    <s v="CA-2018-119004"/>
    <d v="2018-11-23T00:00:00"/>
    <x v="0"/>
    <x v="3"/>
    <d v="2018-11-28T00:00:00"/>
    <n v="5"/>
    <x v="1"/>
    <s v="JM-15250"/>
    <x v="49"/>
    <x v="0"/>
    <s v="United States"/>
    <s v="Charlotte"/>
    <s v="North Carolina"/>
    <n v="28205"/>
    <x v="0"/>
    <s v="TEC-AC-10003499"/>
    <x v="2"/>
    <x v="11"/>
    <s v="Memorex Mini Travel Drive 8 GB USB 2.0 Flash Drive"/>
    <n v="74.111999999999995"/>
  </r>
  <r>
    <n v="108"/>
    <s v="CA-2018-119004"/>
    <d v="2018-11-23T00:00:00"/>
    <x v="0"/>
    <x v="3"/>
    <d v="2018-11-28T00:00:00"/>
    <n v="5"/>
    <x v="1"/>
    <s v="JM-15250"/>
    <x v="49"/>
    <x v="0"/>
    <s v="United States"/>
    <s v="Charlotte"/>
    <s v="North Carolina"/>
    <n v="28205"/>
    <x v="0"/>
    <s v="TEC-PH-10002844"/>
    <x v="2"/>
    <x v="7"/>
    <s v="Speck Products Candyshell Flip Case"/>
    <n v="27.992000000000001"/>
  </r>
  <r>
    <n v="109"/>
    <s v="CA-2018-119004"/>
    <d v="2018-11-23T00:00:00"/>
    <x v="0"/>
    <x v="3"/>
    <d v="2018-11-28T00:00:00"/>
    <n v="5"/>
    <x v="1"/>
    <s v="JM-15250"/>
    <x v="49"/>
    <x v="0"/>
    <s v="United States"/>
    <s v="Charlotte"/>
    <s v="North Carolina"/>
    <n v="28205"/>
    <x v="0"/>
    <s v="OFF-AR-10000390"/>
    <x v="1"/>
    <x v="6"/>
    <s v="Newell Chalk Holder"/>
    <n v="3.3039999999999998"/>
  </r>
  <r>
    <n v="110"/>
    <s v="CA-2016-129476"/>
    <d v="2016-10-15T00:00:00"/>
    <x v="2"/>
    <x v="1"/>
    <d v="2016-10-20T00:00:00"/>
    <n v="5"/>
    <x v="1"/>
    <s v="PA-19060"/>
    <x v="50"/>
    <x v="2"/>
    <s v="United States"/>
    <s v="Orland Park"/>
    <s v="Illinois"/>
    <n v="60462"/>
    <x v="2"/>
    <s v="TEC-AC-10000844"/>
    <x v="2"/>
    <x v="11"/>
    <s v="LogitechÂ Gaming G510s - Keyboard"/>
    <n v="339.96"/>
  </r>
  <r>
    <n v="111"/>
    <s v="CA-2018-146780"/>
    <d v="2018-12-25T00:00:00"/>
    <x v="4"/>
    <x v="3"/>
    <d v="2018-12-30T00:00:00"/>
    <n v="5"/>
    <x v="1"/>
    <s v="CV-12805"/>
    <x v="51"/>
    <x v="1"/>
    <s v="United States"/>
    <s v="New York City"/>
    <s v="New York"/>
    <n v="10035"/>
    <x v="3"/>
    <s v="FUR-FU-10001934"/>
    <x v="0"/>
    <x v="5"/>
    <s v="Magnifier Swing Arm Lamp"/>
    <n v="41.96"/>
  </r>
  <r>
    <n v="112"/>
    <s v="CA-2017-128867"/>
    <d v="2017-11-03T00:00:00"/>
    <x v="0"/>
    <x v="0"/>
    <d v="2017-11-10T00:00:00"/>
    <n v="7"/>
    <x v="1"/>
    <s v="CL-12565"/>
    <x v="52"/>
    <x v="0"/>
    <s v="United States"/>
    <s v="Urbandale"/>
    <s v="Iowa"/>
    <n v="50322"/>
    <x v="2"/>
    <s v="OFF-AR-10000380"/>
    <x v="1"/>
    <x v="6"/>
    <s v="Hunt PowerHouse Electric Pencil Sharpener, Blue"/>
    <n v="75.959999999999994"/>
  </r>
  <r>
    <n v="113"/>
    <s v="CA-2017-128867"/>
    <d v="2017-11-03T00:00:00"/>
    <x v="0"/>
    <x v="0"/>
    <d v="2017-11-10T00:00:00"/>
    <n v="7"/>
    <x v="1"/>
    <s v="CL-12565"/>
    <x v="52"/>
    <x v="0"/>
    <s v="United States"/>
    <s v="Urbandale"/>
    <s v="Iowa"/>
    <n v="50322"/>
    <x v="2"/>
    <s v="OFF-BI-10003981"/>
    <x v="1"/>
    <x v="8"/>
    <s v="Avery Durable Plastic 1&quot; Binders"/>
    <n v="27.24"/>
  </r>
  <r>
    <n v="114"/>
    <s v="CA-2015-115259"/>
    <d v="2015-08-25T00:00:00"/>
    <x v="6"/>
    <x v="2"/>
    <d v="2015-08-27T00:00:00"/>
    <n v="2"/>
    <x v="0"/>
    <s v="RC-19960"/>
    <x v="53"/>
    <x v="0"/>
    <s v="United States"/>
    <s v="Columbus"/>
    <s v="Ohio"/>
    <n v="43229"/>
    <x v="3"/>
    <s v="OFF-FA-10000621"/>
    <x v="1"/>
    <x v="13"/>
    <s v="OIC Colored Binder Clips, Assorted Sizes"/>
    <n v="40.095999999999997"/>
  </r>
  <r>
    <n v="115"/>
    <s v="CA-2015-115259"/>
    <d v="2015-08-25T00:00:00"/>
    <x v="6"/>
    <x v="2"/>
    <d v="2015-08-27T00:00:00"/>
    <n v="2"/>
    <x v="0"/>
    <s v="RC-19960"/>
    <x v="53"/>
    <x v="0"/>
    <s v="United States"/>
    <s v="Columbus"/>
    <s v="Ohio"/>
    <n v="43229"/>
    <x v="3"/>
    <s v="OFF-EN-10002600"/>
    <x v="1"/>
    <x v="12"/>
    <s v="Redi-Strip #10 Envelopes, 4 1/8 x 9 1/2"/>
    <n v="4.72"/>
  </r>
  <r>
    <n v="116"/>
    <s v="CA-2015-115259"/>
    <d v="2015-08-25T00:00:00"/>
    <x v="6"/>
    <x v="2"/>
    <d v="2015-08-27T00:00:00"/>
    <n v="2"/>
    <x v="0"/>
    <s v="RC-19960"/>
    <x v="53"/>
    <x v="0"/>
    <s v="United States"/>
    <s v="Columbus"/>
    <s v="Ohio"/>
    <n v="43229"/>
    <x v="3"/>
    <s v="OFF-PA-10004965"/>
    <x v="1"/>
    <x v="10"/>
    <s v="Xerox 1921"/>
    <n v="23.975999999999999"/>
  </r>
  <r>
    <n v="117"/>
    <s v="CA-2015-115259"/>
    <d v="2015-08-25T00:00:00"/>
    <x v="6"/>
    <x v="2"/>
    <d v="2015-08-27T00:00:00"/>
    <n v="2"/>
    <x v="0"/>
    <s v="RC-19960"/>
    <x v="53"/>
    <x v="0"/>
    <s v="United States"/>
    <s v="Columbus"/>
    <s v="Ohio"/>
    <n v="43229"/>
    <x v="3"/>
    <s v="OFF-EN-10002504"/>
    <x v="1"/>
    <x v="12"/>
    <s v="Tyvek  Top-Opening Peel &amp; Seel Envelopes, Plain White"/>
    <n v="130.464"/>
  </r>
  <r>
    <n v="118"/>
    <s v="CA-2016-110457"/>
    <d v="2016-03-02T00:00:00"/>
    <x v="10"/>
    <x v="1"/>
    <d v="2016-03-06T00:00:00"/>
    <n v="4"/>
    <x v="1"/>
    <s v="DK-13090"/>
    <x v="54"/>
    <x v="0"/>
    <s v="United States"/>
    <s v="Seattle"/>
    <s v="Washington"/>
    <n v="98103"/>
    <x v="1"/>
    <s v="FUR-TA-10001768"/>
    <x v="0"/>
    <x v="3"/>
    <s v="Hon Racetrack Conference Tables"/>
    <n v="787.53"/>
  </r>
  <r>
    <n v="119"/>
    <s v="US-2016-136476"/>
    <d v="2016-04-05T00:00:00"/>
    <x v="3"/>
    <x v="1"/>
    <d v="2016-04-10T00:00:00"/>
    <n v="5"/>
    <x v="1"/>
    <s v="GG-14650"/>
    <x v="55"/>
    <x v="1"/>
    <s v="United States"/>
    <s v="Bristol"/>
    <s v="Tennessee"/>
    <n v="37620"/>
    <x v="0"/>
    <s v="OFF-BI-10003650"/>
    <x v="1"/>
    <x v="8"/>
    <s v="GBC DocuBind 300 Electric Binding Machine"/>
    <n v="157.79400000000001"/>
  </r>
  <r>
    <n v="120"/>
    <s v="CA-2017-103730"/>
    <d v="2017-06-12T00:00:00"/>
    <x v="1"/>
    <x v="0"/>
    <d v="2017-06-15T00:00:00"/>
    <n v="3"/>
    <x v="2"/>
    <s v="SC-20725"/>
    <x v="56"/>
    <x v="0"/>
    <s v="United States"/>
    <s v="Wilmington"/>
    <s v="Delaware"/>
    <n v="19805"/>
    <x v="3"/>
    <s v="FUR-FU-10002157"/>
    <x v="0"/>
    <x v="5"/>
    <s v="Artistic Insta-Plaque"/>
    <n v="47.04"/>
  </r>
  <r>
    <n v="121"/>
    <s v="CA-2017-103730"/>
    <d v="2017-06-12T00:00:00"/>
    <x v="1"/>
    <x v="0"/>
    <d v="2017-06-15T00:00:00"/>
    <n v="3"/>
    <x v="2"/>
    <s v="SC-20725"/>
    <x v="56"/>
    <x v="0"/>
    <s v="United States"/>
    <s v="Wilmington"/>
    <s v="Delaware"/>
    <n v="19805"/>
    <x v="3"/>
    <s v="OFF-BI-10003910"/>
    <x v="1"/>
    <x v="8"/>
    <s v="DXL Angle-View Binders with Locking Rings by Samsill"/>
    <n v="30.84"/>
  </r>
  <r>
    <n v="122"/>
    <s v="CA-2017-103730"/>
    <d v="2017-06-12T00:00:00"/>
    <x v="1"/>
    <x v="0"/>
    <d v="2017-06-15T00:00:00"/>
    <n v="3"/>
    <x v="2"/>
    <s v="SC-20725"/>
    <x v="56"/>
    <x v="0"/>
    <s v="United States"/>
    <s v="Wilmington"/>
    <s v="Delaware"/>
    <n v="19805"/>
    <x v="3"/>
    <s v="OFF-ST-10000777"/>
    <x v="1"/>
    <x v="4"/>
    <s v="Companion Letter/Legal File, Black"/>
    <n v="226.56"/>
  </r>
  <r>
    <n v="123"/>
    <s v="CA-2017-103730"/>
    <d v="2017-06-12T00:00:00"/>
    <x v="1"/>
    <x v="0"/>
    <d v="2017-06-15T00:00:00"/>
    <n v="3"/>
    <x v="2"/>
    <s v="SC-20725"/>
    <x v="56"/>
    <x v="0"/>
    <s v="United States"/>
    <s v="Wilmington"/>
    <s v="Delaware"/>
    <n v="19805"/>
    <x v="3"/>
    <s v="OFF-EN-10002500"/>
    <x v="1"/>
    <x v="12"/>
    <s v="Globe Weis Peel &amp; Seel First Class Envelopes"/>
    <n v="115.02"/>
  </r>
  <r>
    <n v="124"/>
    <s v="CA-2017-103730"/>
    <d v="2017-06-12T00:00:00"/>
    <x v="1"/>
    <x v="0"/>
    <d v="2017-06-15T00:00:00"/>
    <n v="3"/>
    <x v="2"/>
    <s v="SC-20725"/>
    <x v="56"/>
    <x v="0"/>
    <s v="United States"/>
    <s v="Wilmington"/>
    <s v="Delaware"/>
    <n v="19805"/>
    <x v="3"/>
    <s v="TEC-PH-10003875"/>
    <x v="2"/>
    <x v="7"/>
    <s v="KLD Oscar II Style Snap-on Ultra Thin Side Flip Synthetic Leather Cover Case for HTC One HTC M7"/>
    <n v="68.040000000000006"/>
  </r>
  <r>
    <n v="125"/>
    <s v="US-2015-152030"/>
    <d v="2015-12-26T00:00:00"/>
    <x v="4"/>
    <x v="2"/>
    <d v="2015-12-28T00:00:00"/>
    <n v="2"/>
    <x v="0"/>
    <s v="AD-10180"/>
    <x v="57"/>
    <x v="2"/>
    <s v="United States"/>
    <s v="Houston"/>
    <s v="Texas"/>
    <n v="77041"/>
    <x v="2"/>
    <s v="FUR-CH-10004063"/>
    <x v="0"/>
    <x v="1"/>
    <s v="Global Deluxe High-Back Manager's Chair"/>
    <n v="600.55799999999999"/>
  </r>
  <r>
    <n v="126"/>
    <s v="US-2015-134614"/>
    <d v="2015-09-20T00:00:00"/>
    <x v="8"/>
    <x v="2"/>
    <d v="2015-09-25T00:00:00"/>
    <n v="5"/>
    <x v="1"/>
    <s v="PF-19165"/>
    <x v="58"/>
    <x v="0"/>
    <s v="United States"/>
    <s v="Bloomington"/>
    <s v="Illinois"/>
    <n v="61701"/>
    <x v="2"/>
    <s v="FUR-TA-10004534"/>
    <x v="0"/>
    <x v="3"/>
    <s v="Bevis 44 x 96 Conference Tables"/>
    <n v="617.70000000000005"/>
  </r>
  <r>
    <n v="127"/>
    <s v="US-2018-107272"/>
    <d v="2018-11-05T00:00:00"/>
    <x v="0"/>
    <x v="3"/>
    <d v="2018-11-12T00:00:00"/>
    <n v="7"/>
    <x v="1"/>
    <s v="TS-21610"/>
    <x v="59"/>
    <x v="0"/>
    <s v="United States"/>
    <s v="Phoenix"/>
    <s v="Arizona"/>
    <n v="85023"/>
    <x v="1"/>
    <s v="OFF-BI-10003274"/>
    <x v="1"/>
    <x v="8"/>
    <s v="Avery Durable Slant Ring Binders, No Labels"/>
    <n v="2.3879999999999999"/>
  </r>
  <r>
    <n v="128"/>
    <s v="US-2018-107272"/>
    <d v="2018-11-05T00:00:00"/>
    <x v="0"/>
    <x v="3"/>
    <d v="2018-11-12T00:00:00"/>
    <n v="7"/>
    <x v="1"/>
    <s v="TS-21610"/>
    <x v="59"/>
    <x v="0"/>
    <s v="United States"/>
    <s v="Phoenix"/>
    <s v="Arizona"/>
    <n v="85023"/>
    <x v="1"/>
    <s v="OFF-ST-10002974"/>
    <x v="1"/>
    <x v="4"/>
    <s v="Trav-L-File Heavy-Duty Shuttle II, Black"/>
    <n v="243.99199999999999"/>
  </r>
  <r>
    <n v="129"/>
    <s v="US-2017-125969"/>
    <d v="2017-11-06T00:00:00"/>
    <x v="0"/>
    <x v="0"/>
    <d v="2017-11-10T00:00:00"/>
    <n v="4"/>
    <x v="0"/>
    <s v="LS-16975"/>
    <x v="60"/>
    <x v="2"/>
    <s v="United States"/>
    <s v="Los Angeles"/>
    <s v="California"/>
    <n v="90004"/>
    <x v="1"/>
    <s v="FUR-CH-10001146"/>
    <x v="0"/>
    <x v="1"/>
    <s v="Global Task Chair, Black"/>
    <n v="81.424000000000007"/>
  </r>
  <r>
    <n v="130"/>
    <s v="US-2017-125969"/>
    <d v="2017-11-06T00:00:00"/>
    <x v="0"/>
    <x v="0"/>
    <d v="2017-11-10T00:00:00"/>
    <n v="4"/>
    <x v="0"/>
    <s v="LS-16975"/>
    <x v="60"/>
    <x v="2"/>
    <s v="United States"/>
    <s v="Los Angeles"/>
    <s v="California"/>
    <n v="90004"/>
    <x v="1"/>
    <s v="FUR-FU-10003773"/>
    <x v="0"/>
    <x v="5"/>
    <s v="Eldon Cleatmat Plus Chair Mats for High Pile Carpets"/>
    <n v="238.56"/>
  </r>
  <r>
    <n v="131"/>
    <s v="US-2018-164147"/>
    <d v="2018-02-02T00:00:00"/>
    <x v="11"/>
    <x v="3"/>
    <d v="2018-02-05T00:00:00"/>
    <n v="3"/>
    <x v="2"/>
    <s v="DW-13585"/>
    <x v="61"/>
    <x v="1"/>
    <s v="United States"/>
    <s v="Columbus"/>
    <s v="Ohio"/>
    <n v="43229"/>
    <x v="3"/>
    <s v="TEC-PH-10002293"/>
    <x v="2"/>
    <x v="7"/>
    <s v="Anker 36W 4-Port USB Wall Charger Travel Power Adapter for iPhone 5s 5c 5"/>
    <n v="59.97"/>
  </r>
  <r>
    <n v="132"/>
    <s v="US-2018-164147"/>
    <d v="2018-02-02T00:00:00"/>
    <x v="11"/>
    <x v="3"/>
    <d v="2018-02-05T00:00:00"/>
    <n v="3"/>
    <x v="2"/>
    <s v="DW-13585"/>
    <x v="61"/>
    <x v="1"/>
    <s v="United States"/>
    <s v="Columbus"/>
    <s v="Ohio"/>
    <n v="43229"/>
    <x v="3"/>
    <s v="OFF-PA-10002377"/>
    <x v="1"/>
    <x v="10"/>
    <s v="Xerox 1916"/>
    <n v="78.304000000000002"/>
  </r>
  <r>
    <n v="133"/>
    <s v="US-2018-164147"/>
    <d v="2018-02-02T00:00:00"/>
    <x v="11"/>
    <x v="3"/>
    <d v="2018-02-05T00:00:00"/>
    <n v="3"/>
    <x v="2"/>
    <s v="DW-13585"/>
    <x v="61"/>
    <x v="1"/>
    <s v="United States"/>
    <s v="Columbus"/>
    <s v="Ohio"/>
    <n v="43229"/>
    <x v="3"/>
    <s v="OFF-FA-10002780"/>
    <x v="1"/>
    <x v="13"/>
    <s v="Staples"/>
    <n v="21.456"/>
  </r>
  <r>
    <n v="134"/>
    <s v="CA-2017-145583"/>
    <d v="2017-10-13T00:00:00"/>
    <x v="2"/>
    <x v="0"/>
    <d v="2017-10-19T00:00:00"/>
    <n v="6"/>
    <x v="1"/>
    <s v="LC-16885"/>
    <x v="62"/>
    <x v="0"/>
    <s v="United States"/>
    <s v="Roseville"/>
    <s v="California"/>
    <n v="95661"/>
    <x v="1"/>
    <s v="OFF-PA-10001804"/>
    <x v="1"/>
    <x v="10"/>
    <s v="Xerox 195"/>
    <n v="20.04"/>
  </r>
  <r>
    <n v="135"/>
    <s v="CA-2017-145583"/>
    <d v="2017-10-13T00:00:00"/>
    <x v="2"/>
    <x v="0"/>
    <d v="2017-10-19T00:00:00"/>
    <n v="6"/>
    <x v="1"/>
    <s v="LC-16885"/>
    <x v="62"/>
    <x v="0"/>
    <s v="United States"/>
    <s v="Roseville"/>
    <s v="California"/>
    <n v="95661"/>
    <x v="1"/>
    <s v="OFF-PA-10001736"/>
    <x v="1"/>
    <x v="10"/>
    <s v="Xerox 1880"/>
    <n v="35.44"/>
  </r>
  <r>
    <n v="136"/>
    <s v="CA-2017-145583"/>
    <d v="2017-10-13T00:00:00"/>
    <x v="2"/>
    <x v="0"/>
    <d v="2017-10-19T00:00:00"/>
    <n v="6"/>
    <x v="1"/>
    <s v="LC-16885"/>
    <x v="62"/>
    <x v="0"/>
    <s v="United States"/>
    <s v="Roseville"/>
    <s v="California"/>
    <n v="95661"/>
    <x v="1"/>
    <s v="OFF-AR-10001149"/>
    <x v="1"/>
    <x v="6"/>
    <s v="Sanford Colorific Colored Pencils, 12/Box"/>
    <n v="11.52"/>
  </r>
  <r>
    <n v="137"/>
    <s v="CA-2017-145583"/>
    <d v="2017-10-13T00:00:00"/>
    <x v="2"/>
    <x v="0"/>
    <d v="2017-10-19T00:00:00"/>
    <n v="6"/>
    <x v="1"/>
    <s v="LC-16885"/>
    <x v="62"/>
    <x v="0"/>
    <s v="United States"/>
    <s v="Roseville"/>
    <s v="California"/>
    <n v="95661"/>
    <x v="1"/>
    <s v="OFF-FA-10002988"/>
    <x v="1"/>
    <x v="13"/>
    <s v="Ideal Clamps"/>
    <n v="4.0199999999999996"/>
  </r>
  <r>
    <n v="138"/>
    <s v="CA-2017-145583"/>
    <d v="2017-10-13T00:00:00"/>
    <x v="2"/>
    <x v="0"/>
    <d v="2017-10-19T00:00:00"/>
    <n v="6"/>
    <x v="1"/>
    <s v="LC-16885"/>
    <x v="62"/>
    <x v="0"/>
    <s v="United States"/>
    <s v="Roseville"/>
    <s v="California"/>
    <n v="95661"/>
    <x v="1"/>
    <s v="OFF-BI-10004781"/>
    <x v="1"/>
    <x v="8"/>
    <s v="GBC Wire Binding Strips"/>
    <n v="76.176000000000002"/>
  </r>
  <r>
    <n v="139"/>
    <s v="CA-2017-145583"/>
    <d v="2017-10-13T00:00:00"/>
    <x v="2"/>
    <x v="0"/>
    <d v="2017-10-19T00:00:00"/>
    <n v="6"/>
    <x v="1"/>
    <s v="LC-16885"/>
    <x v="62"/>
    <x v="0"/>
    <s v="United States"/>
    <s v="Roseville"/>
    <s v="California"/>
    <n v="95661"/>
    <x v="1"/>
    <s v="OFF-SU-10001218"/>
    <x v="1"/>
    <x v="14"/>
    <s v="Fiskars Softgrip Scissors"/>
    <n v="65.88"/>
  </r>
  <r>
    <n v="140"/>
    <s v="CA-2017-145583"/>
    <d v="2017-10-13T00:00:00"/>
    <x v="2"/>
    <x v="0"/>
    <d v="2017-10-19T00:00:00"/>
    <n v="6"/>
    <x v="1"/>
    <s v="LC-16885"/>
    <x v="62"/>
    <x v="0"/>
    <s v="United States"/>
    <s v="Roseville"/>
    <s v="California"/>
    <n v="95661"/>
    <x v="1"/>
    <s v="FUR-FU-10001706"/>
    <x v="0"/>
    <x v="5"/>
    <s v="Longer-Life Soft White Bulbs"/>
    <n v="43.12"/>
  </r>
  <r>
    <n v="141"/>
    <s v="CA-2017-110366"/>
    <d v="2017-09-05T00:00:00"/>
    <x v="8"/>
    <x v="0"/>
    <d v="2017-09-07T00:00:00"/>
    <n v="2"/>
    <x v="0"/>
    <s v="JD-15895"/>
    <x v="63"/>
    <x v="1"/>
    <s v="United States"/>
    <s v="Philadelphia"/>
    <s v="Pennsylvania"/>
    <n v="19140"/>
    <x v="3"/>
    <s v="FUR-FU-10004848"/>
    <x v="0"/>
    <x v="5"/>
    <s v="Howard Miller 13-3/4&quot; Diameter Brushed Chrome Round Wall Clock"/>
    <n v="82.8"/>
  </r>
  <r>
    <n v="142"/>
    <s v="CA-2018-106180"/>
    <d v="2018-09-18T00:00:00"/>
    <x v="8"/>
    <x v="3"/>
    <d v="2018-09-23T00:00:00"/>
    <n v="5"/>
    <x v="1"/>
    <s v="SH-19975"/>
    <x v="64"/>
    <x v="1"/>
    <s v="United States"/>
    <s v="San Francisco"/>
    <s v="California"/>
    <n v="94122"/>
    <x v="1"/>
    <s v="OFF-AR-10000940"/>
    <x v="1"/>
    <x v="6"/>
    <s v="Newell 343"/>
    <n v="8.82"/>
  </r>
  <r>
    <n v="143"/>
    <s v="CA-2018-106180"/>
    <d v="2018-09-18T00:00:00"/>
    <x v="8"/>
    <x v="3"/>
    <d v="2018-09-23T00:00:00"/>
    <n v="5"/>
    <x v="1"/>
    <s v="SH-19975"/>
    <x v="64"/>
    <x v="1"/>
    <s v="United States"/>
    <s v="San Francisco"/>
    <s v="California"/>
    <n v="94122"/>
    <x v="1"/>
    <s v="OFF-EN-10004030"/>
    <x v="1"/>
    <x v="12"/>
    <s v="Convenience Packs of Business Envelopes"/>
    <n v="10.86"/>
  </r>
  <r>
    <n v="144"/>
    <s v="CA-2018-106180"/>
    <d v="2018-09-18T00:00:00"/>
    <x v="8"/>
    <x v="3"/>
    <d v="2018-09-23T00:00:00"/>
    <n v="5"/>
    <x v="1"/>
    <s v="SH-19975"/>
    <x v="64"/>
    <x v="1"/>
    <s v="United States"/>
    <s v="San Francisco"/>
    <s v="California"/>
    <n v="94122"/>
    <x v="1"/>
    <s v="OFF-PA-10004327"/>
    <x v="1"/>
    <x v="10"/>
    <s v="Xerox 1911"/>
    <n v="143.69999999999999"/>
  </r>
  <r>
    <n v="145"/>
    <s v="CA-2018-155376"/>
    <d v="2018-12-22T00:00:00"/>
    <x v="4"/>
    <x v="3"/>
    <d v="2018-12-27T00:00:00"/>
    <n v="5"/>
    <x v="1"/>
    <s v="SG-20080"/>
    <x v="65"/>
    <x v="0"/>
    <s v="United States"/>
    <s v="Independence"/>
    <s v="Missouri"/>
    <n v="64055"/>
    <x v="2"/>
    <s v="OFF-AP-10001058"/>
    <x v="1"/>
    <x v="9"/>
    <s v="Sanyo 2.5 Cubic Foot Mid-Size Office Refrigerators"/>
    <n v="839.43"/>
  </r>
  <r>
    <n v="146"/>
    <s v="CA-2016-110744"/>
    <d v="2016-09-07T00:00:00"/>
    <x v="8"/>
    <x v="1"/>
    <d v="2016-09-12T00:00:00"/>
    <n v="5"/>
    <x v="1"/>
    <s v="HA-14920"/>
    <x v="66"/>
    <x v="0"/>
    <s v="United States"/>
    <s v="Pasadena"/>
    <s v="California"/>
    <n v="91104"/>
    <x v="1"/>
    <s v="OFF-ST-10003656"/>
    <x v="1"/>
    <x v="4"/>
    <s v="Safco Industrial Wire Shelving"/>
    <n v="671.93"/>
  </r>
  <r>
    <n v="147"/>
    <s v="CA-2015-110072"/>
    <d v="2015-10-22T00:00:00"/>
    <x v="2"/>
    <x v="2"/>
    <d v="2015-10-28T00:00:00"/>
    <n v="6"/>
    <x v="1"/>
    <s v="MG-17680"/>
    <x v="67"/>
    <x v="2"/>
    <s v="United States"/>
    <s v="Newark"/>
    <s v="Ohio"/>
    <n v="43055"/>
    <x v="3"/>
    <s v="FUR-FU-10000521"/>
    <x v="0"/>
    <x v="5"/>
    <s v="Seth Thomas 14&quot; Putty-Colored Wall Clock"/>
    <n v="93.888000000000005"/>
  </r>
  <r>
    <n v="148"/>
    <s v="CA-2017-114489"/>
    <d v="2017-12-05T00:00:00"/>
    <x v="4"/>
    <x v="0"/>
    <d v="2017-12-09T00:00:00"/>
    <n v="4"/>
    <x v="1"/>
    <s v="JE-16165"/>
    <x v="68"/>
    <x v="1"/>
    <s v="United States"/>
    <s v="Franklin"/>
    <s v="Wisconsin"/>
    <n v="53132"/>
    <x v="2"/>
    <s v="TEC-PH-10000215"/>
    <x v="2"/>
    <x v="7"/>
    <s v="Plantronics CordlessÂ Phone HeadsetÂ with In-line Volume - M214C"/>
    <n v="384.45"/>
  </r>
  <r>
    <n v="149"/>
    <s v="CA-2017-114489"/>
    <d v="2017-12-05T00:00:00"/>
    <x v="4"/>
    <x v="0"/>
    <d v="2017-12-09T00:00:00"/>
    <n v="4"/>
    <x v="1"/>
    <s v="JE-16165"/>
    <x v="68"/>
    <x v="1"/>
    <s v="United States"/>
    <s v="Franklin"/>
    <s v="Wisconsin"/>
    <n v="53132"/>
    <x v="2"/>
    <s v="TEC-PH-10001448"/>
    <x v="2"/>
    <x v="7"/>
    <s v="Anker Astro 15000mAh USB Portable Charger"/>
    <n v="149.97"/>
  </r>
  <r>
    <n v="150"/>
    <s v="CA-2017-114489"/>
    <d v="2017-12-05T00:00:00"/>
    <x v="4"/>
    <x v="0"/>
    <d v="2017-12-09T00:00:00"/>
    <n v="4"/>
    <x v="1"/>
    <s v="JE-16165"/>
    <x v="68"/>
    <x v="1"/>
    <s v="United States"/>
    <s v="Franklin"/>
    <s v="Wisconsin"/>
    <n v="53132"/>
    <x v="2"/>
    <s v="FUR-CH-10000454"/>
    <x v="0"/>
    <x v="1"/>
    <s v="Hon Deluxe Fabric Upholstered Stacking Chairs, Rounded Back"/>
    <n v="1951.84"/>
  </r>
  <r>
    <n v="151"/>
    <s v="CA-2017-114489"/>
    <d v="2017-12-05T00:00:00"/>
    <x v="4"/>
    <x v="0"/>
    <d v="2017-12-09T00:00:00"/>
    <n v="4"/>
    <x v="1"/>
    <s v="JE-16165"/>
    <x v="68"/>
    <x v="1"/>
    <s v="United States"/>
    <s v="Franklin"/>
    <s v="Wisconsin"/>
    <n v="53132"/>
    <x v="2"/>
    <s v="OFF-BI-10002735"/>
    <x v="1"/>
    <x v="8"/>
    <s v="GBC Prestige Therm-A-Bind Covers"/>
    <n v="171.55"/>
  </r>
  <r>
    <n v="152"/>
    <s v="CA-2017-158834"/>
    <d v="2017-03-13T00:00:00"/>
    <x v="10"/>
    <x v="0"/>
    <d v="2017-03-16T00:00:00"/>
    <n v="3"/>
    <x v="2"/>
    <s v="TW-21025"/>
    <x v="69"/>
    <x v="2"/>
    <s v="United States"/>
    <s v="Scottsdale"/>
    <s v="Arizona"/>
    <n v="85254"/>
    <x v="1"/>
    <s v="OFF-AP-10000326"/>
    <x v="1"/>
    <x v="9"/>
    <s v="Belkin 7 Outlet SurgeMaster Surge Protector with Phone Protection"/>
    <n v="157.91999999999999"/>
  </r>
  <r>
    <n v="153"/>
    <s v="CA-2017-158834"/>
    <d v="2017-03-13T00:00:00"/>
    <x v="10"/>
    <x v="0"/>
    <d v="2017-03-16T00:00:00"/>
    <n v="3"/>
    <x v="2"/>
    <s v="TW-21025"/>
    <x v="69"/>
    <x v="2"/>
    <s v="United States"/>
    <s v="Scottsdale"/>
    <s v="Arizona"/>
    <n v="85254"/>
    <x v="1"/>
    <s v="TEC-PH-10001254"/>
    <x v="2"/>
    <x v="7"/>
    <s v="Jabra BIZ 2300 Duo QD Duo CordedÂ Headset"/>
    <n v="203.184"/>
  </r>
  <r>
    <n v="154"/>
    <s v="CA-2016-124919"/>
    <d v="2016-05-31T00:00:00"/>
    <x v="5"/>
    <x v="1"/>
    <d v="2016-06-02T00:00:00"/>
    <n v="2"/>
    <x v="2"/>
    <s v="SP-20650"/>
    <x v="70"/>
    <x v="1"/>
    <s v="United States"/>
    <s v="San Jose"/>
    <s v="California"/>
    <n v="95123"/>
    <x v="1"/>
    <s v="OFF-PA-10001950"/>
    <x v="1"/>
    <x v="10"/>
    <s v="Southworth 25% Cotton Antique Laid Paper &amp; Envelopes"/>
    <n v="58.38"/>
  </r>
  <r>
    <n v="155"/>
    <s v="CA-2016-124919"/>
    <d v="2016-05-31T00:00:00"/>
    <x v="5"/>
    <x v="1"/>
    <d v="2016-06-02T00:00:00"/>
    <n v="2"/>
    <x v="2"/>
    <s v="SP-20650"/>
    <x v="70"/>
    <x v="1"/>
    <s v="United States"/>
    <s v="San Jose"/>
    <s v="California"/>
    <n v="95123"/>
    <x v="1"/>
    <s v="OFF-PA-10002254"/>
    <x v="1"/>
    <x v="10"/>
    <s v="Xerox 1883"/>
    <n v="105.52"/>
  </r>
  <r>
    <n v="156"/>
    <s v="CA-2016-124919"/>
    <d v="2016-05-31T00:00:00"/>
    <x v="5"/>
    <x v="1"/>
    <d v="2016-06-02T00:00:00"/>
    <n v="2"/>
    <x v="2"/>
    <s v="SP-20650"/>
    <x v="70"/>
    <x v="1"/>
    <s v="United States"/>
    <s v="San Jose"/>
    <s v="California"/>
    <n v="95123"/>
    <x v="1"/>
    <s v="OFF-ST-10001590"/>
    <x v="1"/>
    <x v="4"/>
    <s v="Tenex Personal Project File with Scoop Front Design, Black"/>
    <n v="80.88"/>
  </r>
  <r>
    <n v="157"/>
    <s v="CA-2016-118948"/>
    <d v="2016-05-28T00:00:00"/>
    <x v="5"/>
    <x v="1"/>
    <d v="2016-06-03T00:00:00"/>
    <n v="6"/>
    <x v="1"/>
    <s v="NK-18490"/>
    <x v="71"/>
    <x v="2"/>
    <s v="United States"/>
    <s v="Seattle"/>
    <s v="Washington"/>
    <n v="98105"/>
    <x v="1"/>
    <s v="OFF-AR-10001547"/>
    <x v="1"/>
    <x v="6"/>
    <s v="Newell 311"/>
    <n v="6.63"/>
  </r>
  <r>
    <n v="158"/>
    <s v="CA-2015-104269"/>
    <d v="2015-03-01T00:00:00"/>
    <x v="10"/>
    <x v="2"/>
    <d v="2015-03-06T00:00:00"/>
    <n v="5"/>
    <x v="0"/>
    <s v="DB-13060"/>
    <x v="72"/>
    <x v="0"/>
    <s v="United States"/>
    <s v="Seattle"/>
    <s v="Washington"/>
    <n v="98115"/>
    <x v="1"/>
    <s v="FUR-CH-10004063"/>
    <x v="0"/>
    <x v="1"/>
    <s v="Global Deluxe High-Back Manager's Chair"/>
    <n v="457.56799999999998"/>
  </r>
  <r>
    <n v="159"/>
    <s v="CA-2017-114104"/>
    <d v="2017-11-20T00:00:00"/>
    <x v="0"/>
    <x v="0"/>
    <d v="2017-11-24T00:00:00"/>
    <n v="4"/>
    <x v="1"/>
    <s v="NP-18670"/>
    <x v="73"/>
    <x v="0"/>
    <s v="United States"/>
    <s v="Edmond"/>
    <s v="Oklahoma"/>
    <n v="73034"/>
    <x v="2"/>
    <s v="OFF-LA-10002475"/>
    <x v="1"/>
    <x v="2"/>
    <s v="Avery 519"/>
    <n v="14.62"/>
  </r>
  <r>
    <n v="160"/>
    <s v="CA-2017-114104"/>
    <d v="2017-11-20T00:00:00"/>
    <x v="0"/>
    <x v="0"/>
    <d v="2017-11-24T00:00:00"/>
    <n v="4"/>
    <x v="1"/>
    <s v="NP-18670"/>
    <x v="73"/>
    <x v="0"/>
    <s v="United States"/>
    <s v="Edmond"/>
    <s v="Oklahoma"/>
    <n v="73034"/>
    <x v="2"/>
    <s v="TEC-PH-10004536"/>
    <x v="2"/>
    <x v="7"/>
    <s v="Avaya 5420 Digital phone"/>
    <n v="944.93"/>
  </r>
  <r>
    <n v="161"/>
    <s v="CA-2017-162733"/>
    <d v="2017-05-11T00:00:00"/>
    <x v="5"/>
    <x v="0"/>
    <d v="2017-05-12T00:00:00"/>
    <n v="1"/>
    <x v="2"/>
    <s v="TT-21070"/>
    <x v="74"/>
    <x v="0"/>
    <s v="United States"/>
    <s v="Los Angeles"/>
    <s v="California"/>
    <n v="90045"/>
    <x v="1"/>
    <s v="OFF-PA-10002751"/>
    <x v="1"/>
    <x v="10"/>
    <s v="Xerox 1920"/>
    <n v="5.98"/>
  </r>
  <r>
    <n v="162"/>
    <s v="CA-2016-119697"/>
    <d v="2016-12-28T00:00:00"/>
    <x v="4"/>
    <x v="1"/>
    <d v="2016-12-31T00:00:00"/>
    <n v="3"/>
    <x v="0"/>
    <s v="EM-13960"/>
    <x v="75"/>
    <x v="0"/>
    <s v="United States"/>
    <s v="Philadelphia"/>
    <s v="Pennsylvania"/>
    <n v="19134"/>
    <x v="3"/>
    <s v="TEC-AC-10003657"/>
    <x v="2"/>
    <x v="11"/>
    <s v="Lenovo 17-Key USB Numeric Keypad"/>
    <n v="54.384"/>
  </r>
  <r>
    <n v="163"/>
    <s v="CA-2017-154508"/>
    <d v="2017-11-16T00:00:00"/>
    <x v="0"/>
    <x v="0"/>
    <d v="2017-11-20T00:00:00"/>
    <n v="4"/>
    <x v="1"/>
    <s v="RD-19900"/>
    <x v="76"/>
    <x v="0"/>
    <s v="United States"/>
    <s v="Carlsbad"/>
    <s v="New Mexico"/>
    <n v="88220"/>
    <x v="1"/>
    <s v="OFF-EN-10001990"/>
    <x v="1"/>
    <x v="12"/>
    <s v="Staple envelope"/>
    <n v="28.4"/>
  </r>
  <r>
    <n v="164"/>
    <s v="CA-2017-113817"/>
    <d v="2017-11-07T00:00:00"/>
    <x v="0"/>
    <x v="0"/>
    <d v="2017-11-11T00:00:00"/>
    <n v="4"/>
    <x v="1"/>
    <s v="MJ-17740"/>
    <x v="77"/>
    <x v="0"/>
    <s v="United States"/>
    <s v="Seattle"/>
    <s v="Washington"/>
    <n v="98115"/>
    <x v="1"/>
    <s v="OFF-BI-10004002"/>
    <x v="1"/>
    <x v="8"/>
    <s v="Wilson Jones International Size A4 Ring Binders"/>
    <n v="27.68"/>
  </r>
  <r>
    <n v="165"/>
    <s v="CA-2015-139892"/>
    <d v="2015-09-08T00:00:00"/>
    <x v="8"/>
    <x v="2"/>
    <d v="2015-09-12T00:00:00"/>
    <n v="4"/>
    <x v="1"/>
    <s v="BM-11140"/>
    <x v="78"/>
    <x v="0"/>
    <s v="United States"/>
    <s v="San Antonio"/>
    <s v="Texas"/>
    <n v="78207"/>
    <x v="2"/>
    <s v="OFF-AR-10004441"/>
    <x v="1"/>
    <x v="6"/>
    <s v="BIC Brite Liner Highlighters"/>
    <n v="9.9359999999999999"/>
  </r>
  <r>
    <n v="166"/>
    <s v="CA-2015-139892"/>
    <d v="2015-09-08T00:00:00"/>
    <x v="8"/>
    <x v="2"/>
    <d v="2015-09-12T00:00:00"/>
    <n v="4"/>
    <x v="1"/>
    <s v="BM-11140"/>
    <x v="78"/>
    <x v="0"/>
    <s v="United States"/>
    <s v="San Antonio"/>
    <s v="Texas"/>
    <n v="78207"/>
    <x v="2"/>
    <s v="TEC-MA-10000822"/>
    <x v="2"/>
    <x v="15"/>
    <s v="Lexmark MX611dhe Monochrome Laser Printer"/>
    <n v="8159.9520000000002"/>
  </r>
  <r>
    <n v="167"/>
    <s v="CA-2015-139892"/>
    <d v="2015-09-08T00:00:00"/>
    <x v="8"/>
    <x v="2"/>
    <d v="2015-09-12T00:00:00"/>
    <n v="4"/>
    <x v="1"/>
    <s v="BM-11140"/>
    <x v="78"/>
    <x v="0"/>
    <s v="United States"/>
    <s v="San Antonio"/>
    <s v="Texas"/>
    <n v="78207"/>
    <x v="2"/>
    <s v="OFF-ST-10000991"/>
    <x v="1"/>
    <x v="4"/>
    <s v="Space Solutions HD Industrial Steel Shelving."/>
    <n v="275.928"/>
  </r>
  <r>
    <n v="168"/>
    <s v="CA-2015-139892"/>
    <d v="2015-09-08T00:00:00"/>
    <x v="8"/>
    <x v="2"/>
    <d v="2015-09-12T00:00:00"/>
    <n v="4"/>
    <x v="1"/>
    <s v="BM-11140"/>
    <x v="78"/>
    <x v="0"/>
    <s v="United States"/>
    <s v="San Antonio"/>
    <s v="Texas"/>
    <n v="78207"/>
    <x v="2"/>
    <s v="FUR-CH-10004287"/>
    <x v="0"/>
    <x v="1"/>
    <s v="SAFCO Arco Folding Chair"/>
    <n v="1740.06"/>
  </r>
  <r>
    <n v="169"/>
    <s v="CA-2015-139892"/>
    <d v="2015-09-08T00:00:00"/>
    <x v="8"/>
    <x v="2"/>
    <d v="2015-09-12T00:00:00"/>
    <n v="4"/>
    <x v="1"/>
    <s v="BM-11140"/>
    <x v="78"/>
    <x v="0"/>
    <s v="United States"/>
    <s v="San Antonio"/>
    <s v="Texas"/>
    <n v="78207"/>
    <x v="2"/>
    <s v="OFF-AR-10002656"/>
    <x v="1"/>
    <x v="6"/>
    <s v="Sanford Liquid Accent Highlighters"/>
    <n v="32.064"/>
  </r>
  <r>
    <n v="170"/>
    <s v="CA-2015-139892"/>
    <d v="2015-09-08T00:00:00"/>
    <x v="8"/>
    <x v="2"/>
    <d v="2015-09-12T00:00:00"/>
    <n v="4"/>
    <x v="1"/>
    <s v="BM-11140"/>
    <x v="78"/>
    <x v="0"/>
    <s v="United States"/>
    <s v="San Antonio"/>
    <s v="Texas"/>
    <n v="78207"/>
    <x v="2"/>
    <s v="OFF-AP-10002518"/>
    <x v="1"/>
    <x v="9"/>
    <s v="Kensington 7 Outlet MasterPiece Power Center"/>
    <n v="177.98"/>
  </r>
  <r>
    <n v="171"/>
    <s v="CA-2015-139892"/>
    <d v="2015-09-08T00:00:00"/>
    <x v="8"/>
    <x v="2"/>
    <d v="2015-09-12T00:00:00"/>
    <n v="4"/>
    <x v="1"/>
    <s v="BM-11140"/>
    <x v="78"/>
    <x v="0"/>
    <s v="United States"/>
    <s v="San Antonio"/>
    <s v="Texas"/>
    <n v="78207"/>
    <x v="2"/>
    <s v="TEC-PH-10003931"/>
    <x v="2"/>
    <x v="7"/>
    <s v="JBL Micro Wireless Portable Bluetooth Speaker"/>
    <n v="143.976"/>
  </r>
  <r>
    <n v="172"/>
    <s v="CA-2015-118962"/>
    <d v="2015-08-05T00:00:00"/>
    <x v="6"/>
    <x v="2"/>
    <d v="2015-08-09T00:00:00"/>
    <n v="4"/>
    <x v="1"/>
    <s v="CS-12130"/>
    <x v="79"/>
    <x v="0"/>
    <s v="United States"/>
    <s v="Los Angeles"/>
    <s v="California"/>
    <n v="90004"/>
    <x v="1"/>
    <s v="OFF-PA-10000659"/>
    <x v="1"/>
    <x v="10"/>
    <s v="Adams Phone Message Book, Professional, 400 Message Capacity, 5 3/6â€ x 11â€"/>
    <n v="20.94"/>
  </r>
  <r>
    <n v="173"/>
    <s v="CA-2015-118962"/>
    <d v="2015-08-05T00:00:00"/>
    <x v="6"/>
    <x v="2"/>
    <d v="2015-08-09T00:00:00"/>
    <n v="4"/>
    <x v="1"/>
    <s v="CS-12130"/>
    <x v="79"/>
    <x v="0"/>
    <s v="United States"/>
    <s v="Los Angeles"/>
    <s v="California"/>
    <n v="90004"/>
    <x v="1"/>
    <s v="OFF-PA-10001144"/>
    <x v="1"/>
    <x v="10"/>
    <s v="Xerox 1913"/>
    <n v="110.96"/>
  </r>
  <r>
    <n v="174"/>
    <s v="CA-2015-118962"/>
    <d v="2015-08-05T00:00:00"/>
    <x v="6"/>
    <x v="2"/>
    <d v="2015-08-09T00:00:00"/>
    <n v="4"/>
    <x v="1"/>
    <s v="CS-12130"/>
    <x v="79"/>
    <x v="0"/>
    <s v="United States"/>
    <s v="Los Angeles"/>
    <s v="California"/>
    <n v="90004"/>
    <x v="1"/>
    <s v="FUR-CH-10003817"/>
    <x v="0"/>
    <x v="1"/>
    <s v="Global Value Steno Chair, Gray"/>
    <n v="340.14400000000001"/>
  </r>
  <r>
    <n v="175"/>
    <s v="US-2015-100853"/>
    <d v="2015-09-14T00:00:00"/>
    <x v="8"/>
    <x v="2"/>
    <d v="2015-09-19T00:00:00"/>
    <n v="5"/>
    <x v="1"/>
    <s v="JB-15400"/>
    <x v="80"/>
    <x v="1"/>
    <s v="United States"/>
    <s v="Chicago"/>
    <s v="Illinois"/>
    <n v="60623"/>
    <x v="2"/>
    <s v="OFF-AP-10000891"/>
    <x v="1"/>
    <x v="9"/>
    <s v="Kensington 7 Outlet MasterPiece HOMEOFFICE Power Control Center"/>
    <n v="52.448"/>
  </r>
  <r>
    <n v="176"/>
    <s v="US-2015-100853"/>
    <d v="2015-09-14T00:00:00"/>
    <x v="8"/>
    <x v="2"/>
    <d v="2015-09-19T00:00:00"/>
    <n v="5"/>
    <x v="1"/>
    <s v="JB-15400"/>
    <x v="80"/>
    <x v="1"/>
    <s v="United States"/>
    <s v="Chicago"/>
    <s v="Illinois"/>
    <n v="60623"/>
    <x v="2"/>
    <s v="OFF-LA-10003148"/>
    <x v="1"/>
    <x v="2"/>
    <s v="Avery 51"/>
    <n v="20.16"/>
  </r>
  <r>
    <n v="177"/>
    <s v="US-2018-152366"/>
    <d v="2018-04-21T00:00:00"/>
    <x v="3"/>
    <x v="3"/>
    <d v="2018-04-25T00:00:00"/>
    <n v="4"/>
    <x v="0"/>
    <s v="SJ-20500"/>
    <x v="81"/>
    <x v="0"/>
    <s v="United States"/>
    <s v="Houston"/>
    <s v="Texas"/>
    <n v="77036"/>
    <x v="2"/>
    <s v="OFF-AP-10002684"/>
    <x v="1"/>
    <x v="9"/>
    <s v="Acco 7-Outlet Masterpiece Power Center, Wihtout Fax/Phone Line Protection"/>
    <n v="97.263999999999996"/>
  </r>
  <r>
    <n v="178"/>
    <s v="US-2016-101511"/>
    <d v="2016-11-21T00:00:00"/>
    <x v="0"/>
    <x v="1"/>
    <d v="2016-11-23T00:00:00"/>
    <n v="2"/>
    <x v="0"/>
    <s v="JE-15745"/>
    <x v="32"/>
    <x v="0"/>
    <s v="United States"/>
    <s v="Newark"/>
    <s v="Ohio"/>
    <n v="43055"/>
    <x v="3"/>
    <s v="FUR-CH-10004698"/>
    <x v="0"/>
    <x v="1"/>
    <s v="Padded Folding Chairs, Black, 4/Carton"/>
    <n v="396.80200000000002"/>
  </r>
  <r>
    <n v="179"/>
    <s v="US-2016-101511"/>
    <d v="2016-11-21T00:00:00"/>
    <x v="0"/>
    <x v="1"/>
    <d v="2016-11-23T00:00:00"/>
    <n v="2"/>
    <x v="0"/>
    <s v="JE-15745"/>
    <x v="32"/>
    <x v="0"/>
    <s v="United States"/>
    <s v="Newark"/>
    <s v="Ohio"/>
    <n v="43055"/>
    <x v="3"/>
    <s v="OFF-SU-10002189"/>
    <x v="1"/>
    <x v="14"/>
    <s v="Acme Rosewood Handle Letter Opener"/>
    <n v="15.88"/>
  </r>
  <r>
    <n v="180"/>
    <s v="CA-2016-137225"/>
    <d v="2016-12-15T00:00:00"/>
    <x v="4"/>
    <x v="1"/>
    <d v="2016-12-19T00:00:00"/>
    <n v="4"/>
    <x v="1"/>
    <s v="JK-15640"/>
    <x v="82"/>
    <x v="2"/>
    <s v="United States"/>
    <s v="New York City"/>
    <s v="New York"/>
    <n v="10009"/>
    <x v="3"/>
    <s v="OFF-AR-10001940"/>
    <x v="1"/>
    <x v="6"/>
    <s v="Sanford Colorific Eraseable Coloring Pencils, 12 Count"/>
    <n v="3.28"/>
  </r>
  <r>
    <n v="181"/>
    <s v="CA-2015-166191"/>
    <d v="2015-12-05T00:00:00"/>
    <x v="4"/>
    <x v="2"/>
    <d v="2015-12-09T00:00:00"/>
    <n v="4"/>
    <x v="0"/>
    <s v="DK-13150"/>
    <x v="83"/>
    <x v="1"/>
    <s v="United States"/>
    <s v="Decatur"/>
    <s v="Illinois"/>
    <n v="62521"/>
    <x v="2"/>
    <s v="OFF-ST-10003455"/>
    <x v="1"/>
    <x v="4"/>
    <s v="Tenex File Box, Personal Filing Tote with Lid, Black"/>
    <n v="24.815999999999999"/>
  </r>
  <r>
    <n v="182"/>
    <s v="CA-2015-166191"/>
    <d v="2015-12-05T00:00:00"/>
    <x v="4"/>
    <x v="2"/>
    <d v="2015-12-09T00:00:00"/>
    <n v="4"/>
    <x v="0"/>
    <s v="DK-13150"/>
    <x v="83"/>
    <x v="1"/>
    <s v="United States"/>
    <s v="Decatur"/>
    <s v="Illinois"/>
    <n v="62521"/>
    <x v="2"/>
    <s v="TEC-AC-10004659"/>
    <x v="2"/>
    <x v="11"/>
    <s v="ImationÂ Secure+ Hardware Encrypted USB 2.0Â Flash Drive; 16GB"/>
    <n v="408.74400000000003"/>
  </r>
  <r>
    <n v="183"/>
    <s v="CA-2015-158274"/>
    <d v="2015-11-19T00:00:00"/>
    <x v="0"/>
    <x v="2"/>
    <d v="2015-11-24T00:00:00"/>
    <n v="5"/>
    <x v="0"/>
    <s v="RM-19675"/>
    <x v="84"/>
    <x v="2"/>
    <s v="United States"/>
    <s v="Monroe"/>
    <s v="Louisiana"/>
    <n v="71203"/>
    <x v="0"/>
    <s v="TEC-PH-10003273"/>
    <x v="2"/>
    <x v="7"/>
    <s v="AT&amp;T TR1909W"/>
    <n v="503.96"/>
  </r>
  <r>
    <n v="184"/>
    <s v="CA-2015-158274"/>
    <d v="2015-11-19T00:00:00"/>
    <x v="0"/>
    <x v="2"/>
    <d v="2015-11-24T00:00:00"/>
    <n v="5"/>
    <x v="0"/>
    <s v="RM-19675"/>
    <x v="84"/>
    <x v="2"/>
    <s v="United States"/>
    <s v="Monroe"/>
    <s v="Louisiana"/>
    <n v="71203"/>
    <x v="0"/>
    <s v="TEC-PH-10004896"/>
    <x v="2"/>
    <x v="7"/>
    <s v="Nokia Lumia 521 (T-Mobile)"/>
    <n v="149.94999999999999"/>
  </r>
  <r>
    <n v="185"/>
    <s v="CA-2015-158274"/>
    <d v="2015-11-19T00:00:00"/>
    <x v="0"/>
    <x v="2"/>
    <d v="2015-11-24T00:00:00"/>
    <n v="5"/>
    <x v="0"/>
    <s v="RM-19675"/>
    <x v="84"/>
    <x v="2"/>
    <s v="United States"/>
    <s v="Monroe"/>
    <s v="Louisiana"/>
    <n v="71203"/>
    <x v="0"/>
    <s v="TEC-AC-10002345"/>
    <x v="2"/>
    <x v="11"/>
    <s v="HP Standard 104 key PS/2 Keyboard"/>
    <n v="29"/>
  </r>
  <r>
    <n v="186"/>
    <s v="CA-2017-105018"/>
    <d v="2017-11-28T00:00:00"/>
    <x v="0"/>
    <x v="0"/>
    <d v="2017-12-02T00:00:00"/>
    <n v="4"/>
    <x v="1"/>
    <s v="SK-19990"/>
    <x v="85"/>
    <x v="0"/>
    <s v="United States"/>
    <s v="Fairfield"/>
    <s v="Connecticut"/>
    <n v="6824"/>
    <x v="3"/>
    <s v="OFF-BI-10001890"/>
    <x v="1"/>
    <x v="8"/>
    <s v="Avery Poly Binder Pockets"/>
    <n v="7.16"/>
  </r>
  <r>
    <n v="187"/>
    <s v="CA-2015-123260"/>
    <d v="2015-08-26T00:00:00"/>
    <x v="6"/>
    <x v="2"/>
    <d v="2015-08-30T00:00:00"/>
    <n v="4"/>
    <x v="1"/>
    <s v="FM-14290"/>
    <x v="86"/>
    <x v="2"/>
    <s v="United States"/>
    <s v="Los Angeles"/>
    <s v="California"/>
    <n v="90032"/>
    <x v="1"/>
    <s v="TEC-AC-10002323"/>
    <x v="2"/>
    <x v="11"/>
    <s v="SanDisk Ultra 32 GB MicroSDHC Class 10 Memory Card"/>
    <n v="176.8"/>
  </r>
  <r>
    <n v="188"/>
    <s v="CA-2017-157000"/>
    <d v="2017-07-16T00:00:00"/>
    <x v="7"/>
    <x v="0"/>
    <d v="2017-07-22T00:00:00"/>
    <n v="6"/>
    <x v="1"/>
    <s v="AM-10360"/>
    <x v="87"/>
    <x v="1"/>
    <s v="United States"/>
    <s v="Grand Prairie"/>
    <s v="Texas"/>
    <n v="75051"/>
    <x v="2"/>
    <s v="OFF-ST-10001328"/>
    <x v="1"/>
    <x v="4"/>
    <s v="Personal Filing Tote with Lid, Black/Gray"/>
    <n v="37.223999999999997"/>
  </r>
  <r>
    <n v="189"/>
    <s v="CA-2017-157000"/>
    <d v="2017-07-16T00:00:00"/>
    <x v="7"/>
    <x v="0"/>
    <d v="2017-07-22T00:00:00"/>
    <n v="6"/>
    <x v="1"/>
    <s v="AM-10360"/>
    <x v="87"/>
    <x v="1"/>
    <s v="United States"/>
    <s v="Grand Prairie"/>
    <s v="Texas"/>
    <n v="75051"/>
    <x v="2"/>
    <s v="OFF-PA-10001950"/>
    <x v="1"/>
    <x v="10"/>
    <s v="Southworth 25% Cotton Antique Laid Paper &amp; Envelopes"/>
    <n v="20.015999999999998"/>
  </r>
  <r>
    <n v="190"/>
    <s v="CA-2016-102281"/>
    <d v="2016-10-12T00:00:00"/>
    <x v="2"/>
    <x v="1"/>
    <d v="2016-10-14T00:00:00"/>
    <n v="2"/>
    <x v="2"/>
    <s v="MP-17470"/>
    <x v="88"/>
    <x v="2"/>
    <s v="United States"/>
    <s v="New York City"/>
    <s v="New York"/>
    <n v="10035"/>
    <x v="3"/>
    <s v="FUR-BO-10002613"/>
    <x v="0"/>
    <x v="0"/>
    <s v="Atlantic Metals Mobile 4-Shelf Bookcases, Custom Colors"/>
    <n v="899.13599999999997"/>
  </r>
  <r>
    <n v="191"/>
    <s v="CA-2016-102281"/>
    <d v="2016-10-12T00:00:00"/>
    <x v="2"/>
    <x v="1"/>
    <d v="2016-10-14T00:00:00"/>
    <n v="2"/>
    <x v="2"/>
    <s v="MP-17470"/>
    <x v="88"/>
    <x v="2"/>
    <s v="United States"/>
    <s v="New York City"/>
    <s v="New York"/>
    <n v="10035"/>
    <x v="3"/>
    <s v="TEC-PH-10001552"/>
    <x v="2"/>
    <x v="7"/>
    <s v="I Need's 3d Hello Kitty Hybrid Silicone Case Cover for HTC One X 4g with 3d Hello Kitty Stylus Pen Green/pink"/>
    <n v="71.760000000000005"/>
  </r>
  <r>
    <n v="192"/>
    <s v="CA-2016-102281"/>
    <d v="2016-10-12T00:00:00"/>
    <x v="2"/>
    <x v="1"/>
    <d v="2016-10-14T00:00:00"/>
    <n v="2"/>
    <x v="2"/>
    <s v="MP-17470"/>
    <x v="88"/>
    <x v="2"/>
    <s v="United States"/>
    <s v="New York City"/>
    <s v="New York"/>
    <n v="10035"/>
    <x v="3"/>
    <s v="OFF-PA-10000061"/>
    <x v="1"/>
    <x v="10"/>
    <s v="Xerox 205"/>
    <n v="51.84"/>
  </r>
  <r>
    <n v="193"/>
    <s v="CA-2016-102281"/>
    <d v="2016-10-12T00:00:00"/>
    <x v="2"/>
    <x v="1"/>
    <d v="2016-10-14T00:00:00"/>
    <n v="2"/>
    <x v="2"/>
    <s v="MP-17470"/>
    <x v="88"/>
    <x v="2"/>
    <s v="United States"/>
    <s v="New York City"/>
    <s v="New York"/>
    <n v="10035"/>
    <x v="3"/>
    <s v="FUR-BO-10002545"/>
    <x v="0"/>
    <x v="0"/>
    <s v="Atlantic Metals Mobile 3-Shelf Bookcases, Custom Colors"/>
    <n v="626.35199999999998"/>
  </r>
  <r>
    <n v="194"/>
    <s v="CA-2016-102281"/>
    <d v="2016-10-12T00:00:00"/>
    <x v="2"/>
    <x v="1"/>
    <d v="2016-10-14T00:00:00"/>
    <n v="2"/>
    <x v="2"/>
    <s v="MP-17470"/>
    <x v="88"/>
    <x v="2"/>
    <s v="United States"/>
    <s v="New York City"/>
    <s v="New York"/>
    <n v="10035"/>
    <x v="3"/>
    <s v="OFF-AR-10003514"/>
    <x v="1"/>
    <x v="6"/>
    <s v="4009 Highlighters by Sanford"/>
    <n v="19.899999999999999"/>
  </r>
  <r>
    <n v="195"/>
    <s v="CA-2016-131457"/>
    <d v="2016-10-31T00:00:00"/>
    <x v="2"/>
    <x v="1"/>
    <d v="2016-11-06T00:00:00"/>
    <n v="6"/>
    <x v="1"/>
    <s v="MZ-17515"/>
    <x v="89"/>
    <x v="1"/>
    <s v="United States"/>
    <s v="Redlands"/>
    <s v="California"/>
    <n v="92374"/>
    <x v="1"/>
    <s v="OFF-EN-10001509"/>
    <x v="1"/>
    <x v="12"/>
    <s v="Poly String Tie Envelopes"/>
    <n v="14.28"/>
  </r>
  <r>
    <n v="196"/>
    <s v="CA-2015-140004"/>
    <d v="2015-03-21T00:00:00"/>
    <x v="10"/>
    <x v="2"/>
    <d v="2015-03-25T00:00:00"/>
    <n v="4"/>
    <x v="1"/>
    <s v="CB-12025"/>
    <x v="90"/>
    <x v="0"/>
    <s v="United States"/>
    <s v="Hamilton"/>
    <s v="Ohio"/>
    <n v="45011"/>
    <x v="3"/>
    <s v="OFF-AR-10004685"/>
    <x v="1"/>
    <x v="6"/>
    <s v="Binney &amp; Smith Crayola Metallic Colored Pencils, 8-Color Set"/>
    <n v="7.4080000000000004"/>
  </r>
  <r>
    <n v="197"/>
    <s v="CA-2015-140004"/>
    <d v="2015-03-21T00:00:00"/>
    <x v="10"/>
    <x v="2"/>
    <d v="2015-03-25T00:00:00"/>
    <n v="4"/>
    <x v="1"/>
    <s v="CB-12025"/>
    <x v="90"/>
    <x v="0"/>
    <s v="United States"/>
    <s v="Hamilton"/>
    <s v="Ohio"/>
    <n v="45011"/>
    <x v="3"/>
    <s v="OFF-AR-10004027"/>
    <x v="1"/>
    <x v="6"/>
    <s v="Binney &amp; Smith inkTank Erasable Desk Highlighter, Chisel Tip, Yellow, 12/Box"/>
    <n v="6.048"/>
  </r>
  <r>
    <n v="198"/>
    <s v="CA-2018-107720"/>
    <d v="2018-11-06T00:00:00"/>
    <x v="0"/>
    <x v="3"/>
    <d v="2018-11-13T00:00:00"/>
    <n v="7"/>
    <x v="1"/>
    <s v="VM-21685"/>
    <x v="91"/>
    <x v="2"/>
    <s v="United States"/>
    <s v="Westfield"/>
    <s v="New Jersey"/>
    <n v="7090"/>
    <x v="3"/>
    <s v="OFF-ST-10001414"/>
    <x v="1"/>
    <x v="4"/>
    <s v="Decoflex Hanging Personal Folder File"/>
    <n v="46.26"/>
  </r>
  <r>
    <n v="199"/>
    <s v="US-2018-124303"/>
    <d v="2018-07-06T00:00:00"/>
    <x v="7"/>
    <x v="3"/>
    <d v="2018-07-13T00:00:00"/>
    <n v="7"/>
    <x v="1"/>
    <s v="FH-14365"/>
    <x v="92"/>
    <x v="1"/>
    <s v="United States"/>
    <s v="Philadelphia"/>
    <s v="Pennsylvania"/>
    <n v="19120"/>
    <x v="3"/>
    <s v="OFF-BI-10000343"/>
    <x v="1"/>
    <x v="8"/>
    <s v="Pressboard Covers with Storage Hooks, 9 1/2&quot; x 11&quot;, Light Blue"/>
    <n v="2.9460000000000002"/>
  </r>
  <r>
    <n v="200"/>
    <s v="US-2018-124303"/>
    <d v="2018-07-06T00:00:00"/>
    <x v="7"/>
    <x v="3"/>
    <d v="2018-07-13T00:00:00"/>
    <n v="7"/>
    <x v="1"/>
    <s v="FH-14365"/>
    <x v="92"/>
    <x v="1"/>
    <s v="United States"/>
    <s v="Philadelphia"/>
    <s v="Pennsylvania"/>
    <n v="19120"/>
    <x v="3"/>
    <s v="OFF-PA-10002749"/>
    <x v="1"/>
    <x v="10"/>
    <s v="Wirebound Message Books, 5-1/2 x 4 Forms, 2 or 4 Forms per Page"/>
    <n v="16.056000000000001"/>
  </r>
  <r>
    <n v="201"/>
    <s v="CA-2018-105074"/>
    <d v="2018-06-24T00:00:00"/>
    <x v="1"/>
    <x v="3"/>
    <d v="2018-06-29T00:00:00"/>
    <n v="5"/>
    <x v="1"/>
    <s v="MB-17305"/>
    <x v="93"/>
    <x v="0"/>
    <s v="United States"/>
    <s v="Akron"/>
    <s v="Ohio"/>
    <n v="44312"/>
    <x v="3"/>
    <s v="OFF-PA-10002666"/>
    <x v="1"/>
    <x v="10"/>
    <s v="Southworth 25% Cotton Linen-Finish Paper &amp; Envelopes"/>
    <n v="21.744"/>
  </r>
  <r>
    <n v="202"/>
    <s v="CA-2015-133690"/>
    <d v="2015-08-03T00:00:00"/>
    <x v="6"/>
    <x v="2"/>
    <d v="2015-08-05T00:00:00"/>
    <n v="2"/>
    <x v="2"/>
    <s v="BS-11755"/>
    <x v="94"/>
    <x v="0"/>
    <s v="United States"/>
    <s v="Denver"/>
    <s v="Colorado"/>
    <n v="80219"/>
    <x v="1"/>
    <s v="FUR-TA-10004289"/>
    <x v="0"/>
    <x v="3"/>
    <s v="BoxOffice By Design Rectangular and Half-Moon Meeting Room Tables"/>
    <n v="218.75"/>
  </r>
  <r>
    <n v="203"/>
    <s v="CA-2015-133690"/>
    <d v="2015-08-03T00:00:00"/>
    <x v="6"/>
    <x v="2"/>
    <d v="2015-08-05T00:00:00"/>
    <n v="2"/>
    <x v="2"/>
    <s v="BS-11755"/>
    <x v="94"/>
    <x v="0"/>
    <s v="United States"/>
    <s v="Denver"/>
    <s v="Colorado"/>
    <n v="80219"/>
    <x v="1"/>
    <s v="OFF-AP-10003622"/>
    <x v="1"/>
    <x v="9"/>
    <s v="Bravo II Megaboss 12-Amp Hard Body Upright, Replacement Belts, 2 Belts per Pack"/>
    <n v="2.6"/>
  </r>
  <r>
    <n v="204"/>
    <s v="US-2018-116701"/>
    <d v="2018-12-17T00:00:00"/>
    <x v="4"/>
    <x v="3"/>
    <d v="2018-12-21T00:00:00"/>
    <n v="4"/>
    <x v="0"/>
    <s v="LC-17140"/>
    <x v="95"/>
    <x v="0"/>
    <s v="United States"/>
    <s v="Dallas"/>
    <s v="Texas"/>
    <n v="75220"/>
    <x v="2"/>
    <s v="OFF-AP-10003217"/>
    <x v="1"/>
    <x v="9"/>
    <s v="Eureka Sanitaire  Commercial Upright"/>
    <n v="66.284000000000006"/>
  </r>
  <r>
    <n v="205"/>
    <s v="CA-2018-126382"/>
    <d v="2018-06-03T00:00:00"/>
    <x v="1"/>
    <x v="3"/>
    <d v="2018-06-07T00:00:00"/>
    <n v="4"/>
    <x v="1"/>
    <s v="HK-14890"/>
    <x v="96"/>
    <x v="1"/>
    <s v="United States"/>
    <s v="Franklin"/>
    <s v="Tennessee"/>
    <n v="37064"/>
    <x v="0"/>
    <s v="FUR-FU-10002960"/>
    <x v="0"/>
    <x v="5"/>
    <s v="Eldon 200 Class Desk Accessories, Burgundy"/>
    <n v="35.167999999999999"/>
  </r>
  <r>
    <n v="206"/>
    <s v="CA-2018-108329"/>
    <d v="2018-12-09T00:00:00"/>
    <x v="4"/>
    <x v="3"/>
    <d v="2018-12-14T00:00:00"/>
    <n v="5"/>
    <x v="1"/>
    <s v="LE-16810"/>
    <x v="97"/>
    <x v="0"/>
    <s v="United States"/>
    <s v="Whittier"/>
    <s v="California"/>
    <n v="90604"/>
    <x v="1"/>
    <s v="TEC-PH-10001918"/>
    <x v="2"/>
    <x v="7"/>
    <s v="Nortel Business Series Terminal T7208 Digital phone"/>
    <n v="444.76799999999997"/>
  </r>
  <r>
    <n v="207"/>
    <s v="CA-2018-135860"/>
    <d v="2018-12-01T00:00:00"/>
    <x v="4"/>
    <x v="3"/>
    <d v="2018-12-07T00:00:00"/>
    <n v="6"/>
    <x v="1"/>
    <s v="JH-15985"/>
    <x v="98"/>
    <x v="0"/>
    <s v="United States"/>
    <s v="Saginaw"/>
    <s v="Michigan"/>
    <n v="48601"/>
    <x v="2"/>
    <s v="OFF-ST-10000642"/>
    <x v="1"/>
    <x v="4"/>
    <s v="Tennsco Lockers, Gray"/>
    <n v="83.92"/>
  </r>
  <r>
    <n v="208"/>
    <s v="CA-2018-135860"/>
    <d v="2018-12-01T00:00:00"/>
    <x v="4"/>
    <x v="3"/>
    <d v="2018-12-07T00:00:00"/>
    <n v="6"/>
    <x v="1"/>
    <s v="JH-15985"/>
    <x v="98"/>
    <x v="0"/>
    <s v="United States"/>
    <s v="Saginaw"/>
    <s v="Michigan"/>
    <n v="48601"/>
    <x v="2"/>
    <s v="TEC-PH-10001700"/>
    <x v="2"/>
    <x v="7"/>
    <s v="Panasonic KX-TG6844B Expandable Digital Cordless Telephone"/>
    <n v="131.97999999999999"/>
  </r>
  <r>
    <n v="209"/>
    <s v="CA-2018-135860"/>
    <d v="2018-12-01T00:00:00"/>
    <x v="4"/>
    <x v="3"/>
    <d v="2018-12-07T00:00:00"/>
    <n v="6"/>
    <x v="1"/>
    <s v="JH-15985"/>
    <x v="98"/>
    <x v="0"/>
    <s v="United States"/>
    <s v="Saginaw"/>
    <s v="Michigan"/>
    <n v="48601"/>
    <x v="2"/>
    <s v="OFF-BI-10003274"/>
    <x v="1"/>
    <x v="8"/>
    <s v="Avery Durable Slant Ring Binders, No Labels"/>
    <n v="15.92"/>
  </r>
  <r>
    <n v="210"/>
    <s v="CA-2018-135860"/>
    <d v="2018-12-01T00:00:00"/>
    <x v="4"/>
    <x v="3"/>
    <d v="2018-12-07T00:00:00"/>
    <n v="6"/>
    <x v="1"/>
    <s v="JH-15985"/>
    <x v="98"/>
    <x v="0"/>
    <s v="United States"/>
    <s v="Saginaw"/>
    <s v="Michigan"/>
    <n v="48601"/>
    <x v="2"/>
    <s v="OFF-FA-10000134"/>
    <x v="1"/>
    <x v="13"/>
    <s v="Advantus Push Pins, Aluminum Head"/>
    <n v="52.29"/>
  </r>
  <r>
    <n v="211"/>
    <s v="CA-2018-135860"/>
    <d v="2018-12-01T00:00:00"/>
    <x v="4"/>
    <x v="3"/>
    <d v="2018-12-07T00:00:00"/>
    <n v="6"/>
    <x v="1"/>
    <s v="JH-15985"/>
    <x v="98"/>
    <x v="0"/>
    <s v="United States"/>
    <s v="Saginaw"/>
    <s v="Michigan"/>
    <n v="48601"/>
    <x v="2"/>
    <s v="OFF-ST-10001522"/>
    <x v="1"/>
    <x v="4"/>
    <s v="Gould Plastics 18-Pocket Panel Bin, 34w x 5-1/4d x 20-1/2h"/>
    <n v="91.99"/>
  </r>
  <r>
    <n v="212"/>
    <s v="CA-2016-101007"/>
    <d v="2016-02-09T00:00:00"/>
    <x v="11"/>
    <x v="1"/>
    <d v="2016-02-13T00:00:00"/>
    <n v="4"/>
    <x v="0"/>
    <s v="MS-17980"/>
    <x v="99"/>
    <x v="1"/>
    <s v="United States"/>
    <s v="Dallas"/>
    <s v="Texas"/>
    <n v="75220"/>
    <x v="2"/>
    <s v="TEC-AC-10001266"/>
    <x v="2"/>
    <x v="11"/>
    <s v="Memorex Micro Travel Drive 8 GB"/>
    <n v="20.8"/>
  </r>
  <r>
    <n v="213"/>
    <s v="CA-2016-146262"/>
    <d v="2016-01-02T00:00:00"/>
    <x v="9"/>
    <x v="1"/>
    <d v="2016-01-09T00:00:00"/>
    <n v="7"/>
    <x v="1"/>
    <s v="VW-21775"/>
    <x v="100"/>
    <x v="1"/>
    <s v="United States"/>
    <s v="Medina"/>
    <s v="Ohio"/>
    <n v="44256"/>
    <x v="3"/>
    <s v="OFF-LA-10004544"/>
    <x v="1"/>
    <x v="2"/>
    <s v="Avery 505"/>
    <n v="23.68"/>
  </r>
  <r>
    <n v="214"/>
    <s v="CA-2016-146262"/>
    <d v="2016-01-02T00:00:00"/>
    <x v="9"/>
    <x v="1"/>
    <d v="2016-01-09T00:00:00"/>
    <n v="7"/>
    <x v="1"/>
    <s v="VW-21775"/>
    <x v="100"/>
    <x v="1"/>
    <s v="United States"/>
    <s v="Medina"/>
    <s v="Ohio"/>
    <n v="44256"/>
    <x v="3"/>
    <s v="FUR-BO-10004695"/>
    <x v="0"/>
    <x v="0"/>
    <s v="O'Sullivan 2-Door Barrister Bookcase in Odessa Pine"/>
    <n v="452.45"/>
  </r>
  <r>
    <n v="215"/>
    <s v="CA-2016-146262"/>
    <d v="2016-01-02T00:00:00"/>
    <x v="9"/>
    <x v="1"/>
    <d v="2016-01-09T00:00:00"/>
    <n v="7"/>
    <x v="1"/>
    <s v="VW-21775"/>
    <x v="100"/>
    <x v="1"/>
    <s v="United States"/>
    <s v="Medina"/>
    <s v="Ohio"/>
    <n v="44256"/>
    <x v="3"/>
    <s v="TEC-PH-10002844"/>
    <x v="2"/>
    <x v="7"/>
    <s v="Speck Products Candyshell Flip Case"/>
    <n v="62.981999999999999"/>
  </r>
  <r>
    <n v="216"/>
    <s v="CA-2016-146262"/>
    <d v="2016-01-02T00:00:00"/>
    <x v="9"/>
    <x v="1"/>
    <d v="2016-01-09T00:00:00"/>
    <n v="7"/>
    <x v="1"/>
    <s v="VW-21775"/>
    <x v="100"/>
    <x v="1"/>
    <s v="United States"/>
    <s v="Medina"/>
    <s v="Ohio"/>
    <n v="44256"/>
    <x v="3"/>
    <s v="TEC-MA-10000864"/>
    <x v="2"/>
    <x v="15"/>
    <s v="Cisco 9971 IP Video Phone Charcoal"/>
    <n v="1188"/>
  </r>
  <r>
    <n v="217"/>
    <s v="CA-2016-146262"/>
    <d v="2016-01-02T00:00:00"/>
    <x v="9"/>
    <x v="1"/>
    <d v="2016-01-09T00:00:00"/>
    <n v="7"/>
    <x v="1"/>
    <s v="VW-21775"/>
    <x v="100"/>
    <x v="1"/>
    <s v="United States"/>
    <s v="Medina"/>
    <s v="Ohio"/>
    <n v="44256"/>
    <x v="3"/>
    <s v="TEC-AC-10000109"/>
    <x v="2"/>
    <x v="11"/>
    <s v="Sony Micro Vault Click 16 GB USB 2.0 Flash Drive"/>
    <n v="89.584000000000003"/>
  </r>
  <r>
    <n v="218"/>
    <s v="CA-2017-130162"/>
    <d v="2017-10-28T00:00:00"/>
    <x v="2"/>
    <x v="0"/>
    <d v="2017-11-01T00:00:00"/>
    <n v="4"/>
    <x v="1"/>
    <s v="JH-15910"/>
    <x v="101"/>
    <x v="0"/>
    <s v="United States"/>
    <s v="Los Angeles"/>
    <s v="California"/>
    <n v="90032"/>
    <x v="1"/>
    <s v="OFF-ST-10001328"/>
    <x v="1"/>
    <x v="4"/>
    <s v="Personal Filing Tote with Lid, Black/Gray"/>
    <n v="93.06"/>
  </r>
  <r>
    <n v="219"/>
    <s v="CA-2017-130162"/>
    <d v="2017-10-28T00:00:00"/>
    <x v="2"/>
    <x v="0"/>
    <d v="2017-11-01T00:00:00"/>
    <n v="4"/>
    <x v="1"/>
    <s v="JH-15910"/>
    <x v="101"/>
    <x v="0"/>
    <s v="United States"/>
    <s v="Los Angeles"/>
    <s v="California"/>
    <n v="90032"/>
    <x v="1"/>
    <s v="TEC-PH-10002563"/>
    <x v="2"/>
    <x v="7"/>
    <s v="Adtran 1202752G1"/>
    <n v="302.37599999999998"/>
  </r>
  <r>
    <n v="220"/>
    <s v="CA-2016-169397"/>
    <d v="2016-12-24T00:00:00"/>
    <x v="4"/>
    <x v="1"/>
    <d v="2016-12-27T00:00:00"/>
    <n v="3"/>
    <x v="2"/>
    <s v="JB-15925"/>
    <x v="102"/>
    <x v="0"/>
    <s v="United States"/>
    <s v="Dublin"/>
    <s v="Ohio"/>
    <n v="43017"/>
    <x v="3"/>
    <s v="OFF-FA-10000585"/>
    <x v="1"/>
    <x v="13"/>
    <s v="OIC Bulk Pack Metal Binder Clips"/>
    <n v="5.5839999999999996"/>
  </r>
  <r>
    <n v="221"/>
    <s v="CA-2016-169397"/>
    <d v="2016-12-24T00:00:00"/>
    <x v="4"/>
    <x v="1"/>
    <d v="2016-12-27T00:00:00"/>
    <n v="3"/>
    <x v="2"/>
    <s v="JB-15925"/>
    <x v="102"/>
    <x v="0"/>
    <s v="United States"/>
    <s v="Dublin"/>
    <s v="Ohio"/>
    <n v="43017"/>
    <x v="3"/>
    <s v="OFF-PA-10004000"/>
    <x v="1"/>
    <x v="10"/>
    <s v="While You Were Out Pads, 50 per Pad, 4 x 5 1/4, Green Cycle"/>
    <n v="22.704000000000001"/>
  </r>
  <r>
    <n v="222"/>
    <s v="CA-2016-169397"/>
    <d v="2016-12-24T00:00:00"/>
    <x v="4"/>
    <x v="1"/>
    <d v="2016-12-27T00:00:00"/>
    <n v="3"/>
    <x v="2"/>
    <s v="JB-15925"/>
    <x v="102"/>
    <x v="0"/>
    <s v="United States"/>
    <s v="Dublin"/>
    <s v="Ohio"/>
    <n v="43017"/>
    <x v="3"/>
    <s v="OFF-BI-10002852"/>
    <x v="1"/>
    <x v="8"/>
    <s v="Ibico Standard Transparent Covers"/>
    <n v="19.776"/>
  </r>
  <r>
    <n v="223"/>
    <s v="CA-2016-169397"/>
    <d v="2016-12-24T00:00:00"/>
    <x v="4"/>
    <x v="1"/>
    <d v="2016-12-27T00:00:00"/>
    <n v="3"/>
    <x v="2"/>
    <s v="JB-15925"/>
    <x v="102"/>
    <x v="0"/>
    <s v="United States"/>
    <s v="Dublin"/>
    <s v="Ohio"/>
    <n v="43017"/>
    <x v="3"/>
    <s v="FUR-FU-10000087"/>
    <x v="0"/>
    <x v="5"/>
    <s v="Executive Impressions 14&quot; Two-Color Numerals Wall Clock"/>
    <n v="72.703999999999994"/>
  </r>
  <r>
    <n v="224"/>
    <s v="CA-2016-169397"/>
    <d v="2016-12-24T00:00:00"/>
    <x v="4"/>
    <x v="1"/>
    <d v="2016-12-27T00:00:00"/>
    <n v="3"/>
    <x v="2"/>
    <s v="JB-15925"/>
    <x v="102"/>
    <x v="0"/>
    <s v="United States"/>
    <s v="Dublin"/>
    <s v="Ohio"/>
    <n v="43017"/>
    <x v="3"/>
    <s v="TEC-MA-10001148"/>
    <x v="2"/>
    <x v="15"/>
    <s v="Swingline SM12-08 MicroCut Jam Free Shredder"/>
    <n v="479.988"/>
  </r>
  <r>
    <n v="225"/>
    <s v="CA-2016-169397"/>
    <d v="2016-12-24T00:00:00"/>
    <x v="4"/>
    <x v="1"/>
    <d v="2016-12-27T00:00:00"/>
    <n v="3"/>
    <x v="2"/>
    <s v="JB-15925"/>
    <x v="102"/>
    <x v="0"/>
    <s v="United States"/>
    <s v="Dublin"/>
    <s v="Ohio"/>
    <n v="43017"/>
    <x v="3"/>
    <s v="OFF-AR-10001958"/>
    <x v="1"/>
    <x v="6"/>
    <s v="Stanley Bostitch Contemporary Electric Pencil Sharpeners"/>
    <n v="27.167999999999999"/>
  </r>
  <r>
    <n v="226"/>
    <s v="CA-2016-163055"/>
    <d v="2016-08-09T00:00:00"/>
    <x v="6"/>
    <x v="1"/>
    <d v="2016-08-16T00:00:00"/>
    <n v="7"/>
    <x v="1"/>
    <s v="DS-13180"/>
    <x v="103"/>
    <x v="1"/>
    <s v="United States"/>
    <s v="Detroit"/>
    <s v="Michigan"/>
    <n v="48227"/>
    <x v="2"/>
    <s v="OFF-AR-10001026"/>
    <x v="1"/>
    <x v="6"/>
    <s v="Sanford Uni-Blazer View Highlighters, Chisel Tip, Yellow"/>
    <n v="2.2000000000000002"/>
  </r>
  <r>
    <n v="227"/>
    <s v="CA-2016-163055"/>
    <d v="2016-08-09T00:00:00"/>
    <x v="6"/>
    <x v="1"/>
    <d v="2016-08-16T00:00:00"/>
    <n v="7"/>
    <x v="1"/>
    <s v="DS-13180"/>
    <x v="103"/>
    <x v="1"/>
    <s v="United States"/>
    <s v="Detroit"/>
    <s v="Michigan"/>
    <n v="48227"/>
    <x v="2"/>
    <s v="FUR-TA-10003748"/>
    <x v="0"/>
    <x v="3"/>
    <s v="Bevis 36 x 72 Conference Tables"/>
    <n v="622.45000000000005"/>
  </r>
  <r>
    <n v="228"/>
    <s v="CA-2016-163055"/>
    <d v="2016-08-09T00:00:00"/>
    <x v="6"/>
    <x v="1"/>
    <d v="2016-08-16T00:00:00"/>
    <n v="7"/>
    <x v="1"/>
    <s v="DS-13180"/>
    <x v="103"/>
    <x v="1"/>
    <s v="United States"/>
    <s v="Detroit"/>
    <s v="Michigan"/>
    <n v="48227"/>
    <x v="2"/>
    <s v="OFF-ST-10002485"/>
    <x v="1"/>
    <x v="4"/>
    <s v="Rogers Deluxe File Chest"/>
    <n v="21.98"/>
  </r>
  <r>
    <n v="229"/>
    <s v="US-2016-145436"/>
    <d v="2016-02-28T00:00:00"/>
    <x v="11"/>
    <x v="1"/>
    <d v="2016-03-04T00:00:00"/>
    <n v="5"/>
    <x v="1"/>
    <s v="VD-21670"/>
    <x v="104"/>
    <x v="0"/>
    <s v="United States"/>
    <s v="Columbia"/>
    <s v="Tennessee"/>
    <n v="38401"/>
    <x v="0"/>
    <s v="FUR-CH-10004860"/>
    <x v="0"/>
    <x v="1"/>
    <s v="Global Low Back Tilter Chair"/>
    <n v="161.56800000000001"/>
  </r>
  <r>
    <n v="230"/>
    <s v="US-2016-145436"/>
    <d v="2016-02-28T00:00:00"/>
    <x v="11"/>
    <x v="1"/>
    <d v="2016-03-04T00:00:00"/>
    <n v="5"/>
    <x v="1"/>
    <s v="VD-21670"/>
    <x v="104"/>
    <x v="0"/>
    <s v="United States"/>
    <s v="Columbia"/>
    <s v="Tennessee"/>
    <n v="38401"/>
    <x v="0"/>
    <s v="FUR-CH-10004477"/>
    <x v="0"/>
    <x v="1"/>
    <s v="Global Push Button Manager's Chair, Indigo"/>
    <n v="389.69600000000003"/>
  </r>
  <r>
    <n v="231"/>
    <s v="US-2015-156216"/>
    <d v="2015-09-13T00:00:00"/>
    <x v="8"/>
    <x v="2"/>
    <d v="2015-09-17T00:00:00"/>
    <n v="4"/>
    <x v="1"/>
    <s v="EA-14035"/>
    <x v="105"/>
    <x v="1"/>
    <s v="United States"/>
    <s v="Charlotte"/>
    <s v="North Carolina"/>
    <n v="28205"/>
    <x v="0"/>
    <s v="OFF-BI-10001679"/>
    <x v="1"/>
    <x v="8"/>
    <s v="GBC Instant Index System for Binding Systems"/>
    <n v="18.648"/>
  </r>
  <r>
    <n v="232"/>
    <s v="US-2018-100930"/>
    <d v="2018-04-07T00:00:00"/>
    <x v="3"/>
    <x v="3"/>
    <d v="2018-04-12T00:00:00"/>
    <n v="5"/>
    <x v="1"/>
    <s v="CS-12400"/>
    <x v="37"/>
    <x v="2"/>
    <s v="United States"/>
    <s v="Tampa"/>
    <s v="Florida"/>
    <n v="33614"/>
    <x v="0"/>
    <s v="FUR-TA-10001705"/>
    <x v="0"/>
    <x v="3"/>
    <s v="Bush Advantage Collection Round Conference Table"/>
    <n v="233.86"/>
  </r>
  <r>
    <n v="233"/>
    <s v="US-2018-100930"/>
    <d v="2018-04-07T00:00:00"/>
    <x v="3"/>
    <x v="3"/>
    <d v="2018-04-12T00:00:00"/>
    <n v="5"/>
    <x v="1"/>
    <s v="CS-12400"/>
    <x v="37"/>
    <x v="2"/>
    <s v="United States"/>
    <s v="Tampa"/>
    <s v="Florida"/>
    <n v="33614"/>
    <x v="0"/>
    <s v="FUR-TA-10003473"/>
    <x v="0"/>
    <x v="3"/>
    <s v="Bretford Rectangular Conference Table Tops"/>
    <n v="620.61450000000002"/>
  </r>
  <r>
    <n v="234"/>
    <s v="US-2018-100930"/>
    <d v="2018-04-07T00:00:00"/>
    <x v="3"/>
    <x v="3"/>
    <d v="2018-04-12T00:00:00"/>
    <n v="5"/>
    <x v="1"/>
    <s v="CS-12400"/>
    <x v="37"/>
    <x v="2"/>
    <s v="United States"/>
    <s v="Tampa"/>
    <s v="Florida"/>
    <n v="33614"/>
    <x v="0"/>
    <s v="OFF-BI-10001679"/>
    <x v="1"/>
    <x v="8"/>
    <s v="GBC Instant Index System for Binding Systems"/>
    <n v="5.3280000000000003"/>
  </r>
  <r>
    <n v="235"/>
    <s v="US-2018-100930"/>
    <d v="2018-04-07T00:00:00"/>
    <x v="3"/>
    <x v="3"/>
    <d v="2018-04-12T00:00:00"/>
    <n v="5"/>
    <x v="1"/>
    <s v="CS-12400"/>
    <x v="37"/>
    <x v="2"/>
    <s v="United States"/>
    <s v="Tampa"/>
    <s v="Florida"/>
    <n v="33614"/>
    <x v="0"/>
    <s v="FUR-FU-10004017"/>
    <x v="0"/>
    <x v="5"/>
    <s v="Tenex Contemporary Contur Chairmats for Low and Medium Pile Carpet, Computer, 39&quot; x 49&quot;"/>
    <n v="258.072"/>
  </r>
  <r>
    <n v="236"/>
    <s v="US-2018-100930"/>
    <d v="2018-04-07T00:00:00"/>
    <x v="3"/>
    <x v="3"/>
    <d v="2018-04-12T00:00:00"/>
    <n v="5"/>
    <x v="1"/>
    <s v="CS-12400"/>
    <x v="37"/>
    <x v="2"/>
    <s v="United States"/>
    <s v="Tampa"/>
    <s v="Florida"/>
    <n v="33614"/>
    <x v="0"/>
    <s v="TEC-AC-10003832"/>
    <x v="2"/>
    <x v="11"/>
    <s v="LogitechÂ P710e Mobile Speakerphone"/>
    <n v="617.976"/>
  </r>
  <r>
    <n v="237"/>
    <s v="CA-2018-160514"/>
    <d v="2018-11-12T00:00:00"/>
    <x v="0"/>
    <x v="3"/>
    <d v="2018-11-16T00:00:00"/>
    <n v="4"/>
    <x v="1"/>
    <s v="DB-13120"/>
    <x v="106"/>
    <x v="1"/>
    <s v="United States"/>
    <s v="Santa Clara"/>
    <s v="California"/>
    <n v="95051"/>
    <x v="1"/>
    <s v="OFF-PA-10002479"/>
    <x v="1"/>
    <x v="10"/>
    <s v="Xerox 4200 Series MultiUse Premium Copy Paper (20Lb. and 84 Bright)"/>
    <n v="10.56"/>
  </r>
  <r>
    <n v="238"/>
    <s v="CA-2017-157749"/>
    <d v="2017-06-04T00:00:00"/>
    <x v="1"/>
    <x v="0"/>
    <d v="2017-06-09T00:00:00"/>
    <n v="5"/>
    <x v="0"/>
    <s v="KL-16645"/>
    <x v="107"/>
    <x v="0"/>
    <s v="United States"/>
    <s v="Chicago"/>
    <s v="Illinois"/>
    <n v="60610"/>
    <x v="2"/>
    <s v="OFF-PA-10003349"/>
    <x v="1"/>
    <x v="10"/>
    <s v="Xerox 1957"/>
    <n v="25.92"/>
  </r>
  <r>
    <n v="239"/>
    <s v="CA-2017-157749"/>
    <d v="2017-06-04T00:00:00"/>
    <x v="1"/>
    <x v="0"/>
    <d v="2017-06-09T00:00:00"/>
    <n v="5"/>
    <x v="0"/>
    <s v="KL-16645"/>
    <x v="107"/>
    <x v="0"/>
    <s v="United States"/>
    <s v="Chicago"/>
    <s v="Illinois"/>
    <n v="60610"/>
    <x v="2"/>
    <s v="FUR-FU-10000576"/>
    <x v="0"/>
    <x v="5"/>
    <s v="Luxo Professional Fluorescent Magnifier Lamp with Clamp-Mount Base"/>
    <n v="419.68"/>
  </r>
  <r>
    <n v="240"/>
    <s v="CA-2017-157749"/>
    <d v="2017-06-04T00:00:00"/>
    <x v="1"/>
    <x v="0"/>
    <d v="2017-06-09T00:00:00"/>
    <n v="5"/>
    <x v="0"/>
    <s v="KL-16645"/>
    <x v="107"/>
    <x v="0"/>
    <s v="United States"/>
    <s v="Chicago"/>
    <s v="Illinois"/>
    <n v="60610"/>
    <x v="2"/>
    <s v="FUR-FU-10004351"/>
    <x v="0"/>
    <x v="5"/>
    <s v="Staple-based wall hangings"/>
    <n v="11.688000000000001"/>
  </r>
  <r>
    <n v="241"/>
    <s v="CA-2017-157749"/>
    <d v="2017-06-04T00:00:00"/>
    <x v="1"/>
    <x v="0"/>
    <d v="2017-06-09T00:00:00"/>
    <n v="5"/>
    <x v="0"/>
    <s v="KL-16645"/>
    <x v="107"/>
    <x v="0"/>
    <s v="United States"/>
    <s v="Chicago"/>
    <s v="Illinois"/>
    <n v="60610"/>
    <x v="2"/>
    <s v="TEC-PH-10000011"/>
    <x v="2"/>
    <x v="7"/>
    <s v="PureGear Roll-On Screen Protector"/>
    <n v="31.984000000000002"/>
  </r>
  <r>
    <n v="242"/>
    <s v="CA-2017-157749"/>
    <d v="2017-06-04T00:00:00"/>
    <x v="1"/>
    <x v="0"/>
    <d v="2017-06-09T00:00:00"/>
    <n v="5"/>
    <x v="0"/>
    <s v="KL-16645"/>
    <x v="107"/>
    <x v="0"/>
    <s v="United States"/>
    <s v="Chicago"/>
    <s v="Illinois"/>
    <n v="60610"/>
    <x v="2"/>
    <s v="FUR-TA-10002607"/>
    <x v="0"/>
    <x v="3"/>
    <s v="KI Conference Tables"/>
    <n v="177.22499999999999"/>
  </r>
  <r>
    <n v="243"/>
    <s v="CA-2017-157749"/>
    <d v="2017-06-04T00:00:00"/>
    <x v="1"/>
    <x v="0"/>
    <d v="2017-06-09T00:00:00"/>
    <n v="5"/>
    <x v="0"/>
    <s v="KL-16645"/>
    <x v="107"/>
    <x v="0"/>
    <s v="United States"/>
    <s v="Chicago"/>
    <s v="Illinois"/>
    <n v="60610"/>
    <x v="2"/>
    <s v="FUR-FU-10002505"/>
    <x v="0"/>
    <x v="5"/>
    <s v="Eldon 100 Class Desk Accessories"/>
    <n v="4.0439999999999996"/>
  </r>
  <r>
    <n v="244"/>
    <s v="CA-2017-157749"/>
    <d v="2017-06-04T00:00:00"/>
    <x v="1"/>
    <x v="0"/>
    <d v="2017-06-09T00:00:00"/>
    <n v="5"/>
    <x v="0"/>
    <s v="KL-16645"/>
    <x v="107"/>
    <x v="0"/>
    <s v="United States"/>
    <s v="Chicago"/>
    <s v="Illinois"/>
    <n v="60610"/>
    <x v="2"/>
    <s v="OFF-AR-10004685"/>
    <x v="1"/>
    <x v="6"/>
    <s v="Binney &amp; Smith Crayola Metallic Colored Pencils, 8-Color Set"/>
    <n v="7.4080000000000004"/>
  </r>
  <r>
    <n v="245"/>
    <s v="CA-2015-131926"/>
    <d v="2015-06-01T00:00:00"/>
    <x v="1"/>
    <x v="2"/>
    <d v="2015-06-06T00:00:00"/>
    <n v="5"/>
    <x v="0"/>
    <s v="DW-13480"/>
    <x v="108"/>
    <x v="2"/>
    <s v="United States"/>
    <s v="Lakeville"/>
    <s v="Minnesota"/>
    <n v="55044"/>
    <x v="2"/>
    <s v="FUR-CH-10004063"/>
    <x v="0"/>
    <x v="1"/>
    <s v="Global Deluxe High-Back Manager's Chair"/>
    <n v="2001.86"/>
  </r>
  <r>
    <n v="246"/>
    <s v="CA-2015-131926"/>
    <d v="2015-06-01T00:00:00"/>
    <x v="1"/>
    <x v="2"/>
    <d v="2015-06-06T00:00:00"/>
    <n v="5"/>
    <x v="0"/>
    <s v="DW-13480"/>
    <x v="108"/>
    <x v="2"/>
    <s v="United States"/>
    <s v="Lakeville"/>
    <s v="Minnesota"/>
    <n v="55044"/>
    <x v="2"/>
    <s v="OFF-ST-10002276"/>
    <x v="1"/>
    <x v="4"/>
    <s v="Safco Steel Mobile File Cart"/>
    <n v="166.72"/>
  </r>
  <r>
    <n v="247"/>
    <s v="CA-2015-131926"/>
    <d v="2015-06-01T00:00:00"/>
    <x v="1"/>
    <x v="2"/>
    <d v="2015-06-06T00:00:00"/>
    <n v="5"/>
    <x v="0"/>
    <s v="DW-13480"/>
    <x v="108"/>
    <x v="2"/>
    <s v="United States"/>
    <s v="Lakeville"/>
    <s v="Minnesota"/>
    <n v="55044"/>
    <x v="2"/>
    <s v="OFF-PA-10004082"/>
    <x v="1"/>
    <x v="10"/>
    <s v="Adams Telephone Message Book w/Frequently-Called Numbers Space, 400 Messages per Book"/>
    <n v="47.88"/>
  </r>
  <r>
    <n v="248"/>
    <s v="CA-2015-131926"/>
    <d v="2015-06-01T00:00:00"/>
    <x v="1"/>
    <x v="2"/>
    <d v="2015-06-06T00:00:00"/>
    <n v="5"/>
    <x v="0"/>
    <s v="DW-13480"/>
    <x v="108"/>
    <x v="2"/>
    <s v="United States"/>
    <s v="Lakeville"/>
    <s v="Minnesota"/>
    <n v="55044"/>
    <x v="2"/>
    <s v="OFF-AP-10002945"/>
    <x v="1"/>
    <x v="9"/>
    <s v="Honeywell Enviracaire Portable HEPA Air Cleaner for 17' x 22' Room"/>
    <n v="1503.25"/>
  </r>
  <r>
    <n v="249"/>
    <s v="CA-2015-131926"/>
    <d v="2015-06-01T00:00:00"/>
    <x v="1"/>
    <x v="2"/>
    <d v="2015-06-06T00:00:00"/>
    <n v="5"/>
    <x v="0"/>
    <s v="DW-13480"/>
    <x v="108"/>
    <x v="2"/>
    <s v="United States"/>
    <s v="Lakeville"/>
    <s v="Minnesota"/>
    <n v="55044"/>
    <x v="2"/>
    <s v="OFF-PA-10000061"/>
    <x v="1"/>
    <x v="10"/>
    <s v="Xerox 205"/>
    <n v="25.92"/>
  </r>
  <r>
    <n v="250"/>
    <s v="CA-2017-154739"/>
    <d v="2017-12-10T00:00:00"/>
    <x v="4"/>
    <x v="0"/>
    <d v="2017-12-15T00:00:00"/>
    <n v="5"/>
    <x v="0"/>
    <s v="LH-17155"/>
    <x v="109"/>
    <x v="0"/>
    <s v="United States"/>
    <s v="San Francisco"/>
    <s v="California"/>
    <n v="94109"/>
    <x v="1"/>
    <s v="FUR-CH-10002965"/>
    <x v="0"/>
    <x v="1"/>
    <s v="Global Leather Highback Executive Chair with Pneumatic Height Adjustment, Black"/>
    <n v="321.56799999999998"/>
  </r>
  <r>
    <n v="251"/>
    <s v="CA-2017-145625"/>
    <d v="2017-09-11T00:00:00"/>
    <x v="8"/>
    <x v="0"/>
    <d v="2017-09-17T00:00:00"/>
    <n v="6"/>
    <x v="1"/>
    <s v="KC-16540"/>
    <x v="110"/>
    <x v="0"/>
    <s v="United States"/>
    <s v="San Diego"/>
    <s v="California"/>
    <n v="92037"/>
    <x v="1"/>
    <s v="OFF-PA-10004569"/>
    <x v="1"/>
    <x v="10"/>
    <s v="Wirebound Message Books, Two 4 1/4&quot; x 5&quot; Forms per Page"/>
    <n v="7.61"/>
  </r>
  <r>
    <n v="252"/>
    <s v="CA-2017-145625"/>
    <d v="2017-09-11T00:00:00"/>
    <x v="8"/>
    <x v="0"/>
    <d v="2017-09-17T00:00:00"/>
    <n v="6"/>
    <x v="1"/>
    <s v="KC-16540"/>
    <x v="110"/>
    <x v="0"/>
    <s v="United States"/>
    <s v="San Diego"/>
    <s v="California"/>
    <n v="92037"/>
    <x v="1"/>
    <s v="TEC-AC-10003832"/>
    <x v="2"/>
    <x v="11"/>
    <s v="LogitechÂ P710e Mobile Speakerphone"/>
    <n v="3347.37"/>
  </r>
  <r>
    <n v="253"/>
    <s v="CA-2017-146941"/>
    <d v="2017-12-10T00:00:00"/>
    <x v="4"/>
    <x v="0"/>
    <d v="2017-12-13T00:00:00"/>
    <n v="3"/>
    <x v="2"/>
    <s v="DL-13315"/>
    <x v="111"/>
    <x v="0"/>
    <s v="United States"/>
    <s v="New York City"/>
    <s v="New York"/>
    <n v="10024"/>
    <x v="3"/>
    <s v="OFF-ST-10001228"/>
    <x v="1"/>
    <x v="4"/>
    <s v="Fellowes Personal Hanging Folder Files, Navy"/>
    <n v="80.58"/>
  </r>
  <r>
    <n v="254"/>
    <s v="CA-2017-146941"/>
    <d v="2017-12-10T00:00:00"/>
    <x v="4"/>
    <x v="0"/>
    <d v="2017-12-13T00:00:00"/>
    <n v="3"/>
    <x v="2"/>
    <s v="DL-13315"/>
    <x v="111"/>
    <x v="0"/>
    <s v="United States"/>
    <s v="New York City"/>
    <s v="New York"/>
    <n v="10024"/>
    <x v="3"/>
    <s v="OFF-EN-10003296"/>
    <x v="1"/>
    <x v="12"/>
    <s v="Tyvek Side-Opening Peel &amp; Seel Expanding Envelopes"/>
    <n v="361.92"/>
  </r>
  <r>
    <n v="255"/>
    <s v="US-2016-159982"/>
    <d v="2016-11-28T00:00:00"/>
    <x v="0"/>
    <x v="1"/>
    <d v="2016-12-04T00:00:00"/>
    <n v="6"/>
    <x v="1"/>
    <s v="DR-12880"/>
    <x v="112"/>
    <x v="1"/>
    <s v="United States"/>
    <s v="Chicago"/>
    <s v="Illinois"/>
    <n v="60623"/>
    <x v="2"/>
    <s v="FUR-FU-10002505"/>
    <x v="0"/>
    <x v="5"/>
    <s v="Eldon 100 Class Desk Accessories"/>
    <n v="12.132"/>
  </r>
  <r>
    <n v="256"/>
    <s v="US-2016-159982"/>
    <d v="2016-11-28T00:00:00"/>
    <x v="0"/>
    <x v="1"/>
    <d v="2016-12-04T00:00:00"/>
    <n v="6"/>
    <x v="1"/>
    <s v="DR-12880"/>
    <x v="112"/>
    <x v="1"/>
    <s v="United States"/>
    <s v="Chicago"/>
    <s v="Illinois"/>
    <n v="60623"/>
    <x v="2"/>
    <s v="OFF-ST-10004804"/>
    <x v="1"/>
    <x v="4"/>
    <s v="Belkin 19&quot; Vented Equipment Shelf, Black"/>
    <n v="82.367999999999995"/>
  </r>
  <r>
    <n v="257"/>
    <s v="US-2016-159982"/>
    <d v="2016-11-28T00:00:00"/>
    <x v="0"/>
    <x v="1"/>
    <d v="2016-12-04T00:00:00"/>
    <n v="6"/>
    <x v="1"/>
    <s v="DR-12880"/>
    <x v="112"/>
    <x v="1"/>
    <s v="United States"/>
    <s v="Chicago"/>
    <s v="Illinois"/>
    <n v="60623"/>
    <x v="2"/>
    <s v="OFF-ST-10001590"/>
    <x v="1"/>
    <x v="4"/>
    <s v="Tenex Personal Project File with Scoop Front Design, Black"/>
    <n v="53.92"/>
  </r>
  <r>
    <n v="258"/>
    <s v="US-2016-159982"/>
    <d v="2016-11-28T00:00:00"/>
    <x v="0"/>
    <x v="1"/>
    <d v="2016-12-04T00:00:00"/>
    <n v="6"/>
    <x v="1"/>
    <s v="DR-12880"/>
    <x v="112"/>
    <x v="1"/>
    <s v="United States"/>
    <s v="Chicago"/>
    <s v="Illinois"/>
    <n v="60623"/>
    <x v="2"/>
    <s v="TEC-PH-10001580"/>
    <x v="2"/>
    <x v="7"/>
    <s v="Logitech Mobile Speakerphone P710e -Â speaker phone"/>
    <n v="647.904"/>
  </r>
  <r>
    <n v="259"/>
    <s v="CA-2018-163139"/>
    <d v="2018-12-01T00:00:00"/>
    <x v="4"/>
    <x v="3"/>
    <d v="2018-12-03T00:00:00"/>
    <n v="2"/>
    <x v="0"/>
    <s v="CC-12670"/>
    <x v="113"/>
    <x v="0"/>
    <s v="United States"/>
    <s v="New York City"/>
    <s v="New York"/>
    <n v="10009"/>
    <x v="3"/>
    <s v="TEC-AC-10000290"/>
    <x v="2"/>
    <x v="11"/>
    <s v="Sabrent 4-Port USB 2.0 Hub"/>
    <n v="20.37"/>
  </r>
  <r>
    <n v="260"/>
    <s v="CA-2018-163139"/>
    <d v="2018-12-01T00:00:00"/>
    <x v="4"/>
    <x v="3"/>
    <d v="2018-12-03T00:00:00"/>
    <n v="2"/>
    <x v="0"/>
    <s v="CC-12670"/>
    <x v="113"/>
    <x v="0"/>
    <s v="United States"/>
    <s v="New York City"/>
    <s v="New York"/>
    <n v="10009"/>
    <x v="3"/>
    <s v="OFF-ST-10002790"/>
    <x v="1"/>
    <x v="4"/>
    <s v="Safco Industrial Shelving"/>
    <n v="221.55"/>
  </r>
  <r>
    <n v="261"/>
    <s v="CA-2018-163139"/>
    <d v="2018-12-01T00:00:00"/>
    <x v="4"/>
    <x v="3"/>
    <d v="2018-12-03T00:00:00"/>
    <n v="2"/>
    <x v="0"/>
    <s v="CC-12670"/>
    <x v="113"/>
    <x v="0"/>
    <s v="United States"/>
    <s v="New York City"/>
    <s v="New York"/>
    <n v="10009"/>
    <x v="3"/>
    <s v="OFF-BI-10003460"/>
    <x v="1"/>
    <x v="8"/>
    <s v="Acco 3-Hole Punch"/>
    <n v="17.52"/>
  </r>
  <r>
    <n v="262"/>
    <s v="US-2018-155299"/>
    <d v="2018-06-08T00:00:00"/>
    <x v="1"/>
    <x v="3"/>
    <d v="2018-06-12T00:00:00"/>
    <n v="4"/>
    <x v="1"/>
    <s v="Dl-13600"/>
    <x v="114"/>
    <x v="1"/>
    <s v="United States"/>
    <s v="Pasadena"/>
    <s v="Texas"/>
    <n v="77506"/>
    <x v="2"/>
    <s v="OFF-AP-10002203"/>
    <x v="1"/>
    <x v="9"/>
    <s v="Eureka Disposable Bags for Sanitaire Vibra Groomer I Upright Vac"/>
    <n v="1.6240000000000001"/>
  </r>
  <r>
    <n v="263"/>
    <s v="US-2015-106992"/>
    <d v="2015-09-19T00:00:00"/>
    <x v="8"/>
    <x v="2"/>
    <d v="2015-09-21T00:00:00"/>
    <n v="2"/>
    <x v="0"/>
    <s v="SB-20290"/>
    <x v="115"/>
    <x v="1"/>
    <s v="United States"/>
    <s v="Houston"/>
    <s v="Texas"/>
    <n v="77036"/>
    <x v="2"/>
    <s v="TEC-MA-10000822"/>
    <x v="2"/>
    <x v="15"/>
    <s v="Lexmark MX611dhe Monochrome Laser Printer"/>
    <n v="3059.982"/>
  </r>
  <r>
    <n v="264"/>
    <s v="US-2015-106992"/>
    <d v="2015-09-19T00:00:00"/>
    <x v="8"/>
    <x v="2"/>
    <d v="2015-09-21T00:00:00"/>
    <n v="2"/>
    <x v="0"/>
    <s v="SB-20290"/>
    <x v="115"/>
    <x v="1"/>
    <s v="United States"/>
    <s v="Houston"/>
    <s v="Texas"/>
    <n v="77036"/>
    <x v="2"/>
    <s v="TEC-MA-10003353"/>
    <x v="2"/>
    <x v="15"/>
    <s v="Xerox WorkCentre 6505DN Laser Multifunction Printer"/>
    <n v="2519.9580000000001"/>
  </r>
  <r>
    <n v="265"/>
    <s v="CA-2017-125318"/>
    <d v="2017-06-06T00:00:00"/>
    <x v="1"/>
    <x v="0"/>
    <d v="2017-06-13T00:00:00"/>
    <n v="7"/>
    <x v="1"/>
    <s v="RC-19825"/>
    <x v="116"/>
    <x v="0"/>
    <s v="United States"/>
    <s v="Chicago"/>
    <s v="Illinois"/>
    <n v="60610"/>
    <x v="2"/>
    <s v="TEC-PH-10001433"/>
    <x v="2"/>
    <x v="7"/>
    <s v="Cisco Small Business SPA 502G VoIP phone"/>
    <n v="328.22399999999999"/>
  </r>
  <r>
    <n v="266"/>
    <s v="CA-2016-155040"/>
    <d v="2016-11-10T00:00:00"/>
    <x v="0"/>
    <x v="1"/>
    <d v="2016-11-15T00:00:00"/>
    <n v="5"/>
    <x v="1"/>
    <s v="AH-10210"/>
    <x v="117"/>
    <x v="0"/>
    <s v="United States"/>
    <s v="Brentwood"/>
    <s v="California"/>
    <n v="94513"/>
    <x v="1"/>
    <s v="TEC-AC-10004469"/>
    <x v="2"/>
    <x v="11"/>
    <s v="Microsoft Sculpt Comfort Mouse"/>
    <n v="79.900000000000006"/>
  </r>
  <r>
    <n v="267"/>
    <s v="CA-2018-136826"/>
    <d v="2018-06-16T00:00:00"/>
    <x v="1"/>
    <x v="3"/>
    <d v="2018-06-20T00:00:00"/>
    <n v="4"/>
    <x v="1"/>
    <s v="CB-12535"/>
    <x v="118"/>
    <x v="1"/>
    <s v="United States"/>
    <s v="Chapel Hill"/>
    <s v="North Carolina"/>
    <n v="27514"/>
    <x v="0"/>
    <s v="OFF-AR-10003602"/>
    <x v="1"/>
    <x v="6"/>
    <s v="Quartet Omega Colored Chalk, 12/Pack"/>
    <n v="14.016"/>
  </r>
  <r>
    <n v="268"/>
    <s v="CA-2017-111010"/>
    <d v="2017-01-22T00:00:00"/>
    <x v="9"/>
    <x v="0"/>
    <d v="2017-01-28T00:00:00"/>
    <n v="6"/>
    <x v="1"/>
    <s v="PG-18895"/>
    <x v="38"/>
    <x v="0"/>
    <s v="United States"/>
    <s v="Morristown"/>
    <s v="New Jersey"/>
    <n v="7960"/>
    <x v="3"/>
    <s v="OFF-FA-10003472"/>
    <x v="1"/>
    <x v="13"/>
    <s v="Bagged Rubber Bands"/>
    <n v="7.56"/>
  </r>
  <r>
    <n v="269"/>
    <s v="US-2018-145366"/>
    <d v="2018-12-09T00:00:00"/>
    <x v="4"/>
    <x v="3"/>
    <d v="2018-12-13T00:00:00"/>
    <n v="4"/>
    <x v="1"/>
    <s v="CA-12310"/>
    <x v="119"/>
    <x v="1"/>
    <s v="United States"/>
    <s v="Cincinnati"/>
    <s v="Ohio"/>
    <n v="45231"/>
    <x v="3"/>
    <s v="OFF-ST-10004180"/>
    <x v="1"/>
    <x v="4"/>
    <s v="Safco Commercial Shelving"/>
    <n v="37.207999999999998"/>
  </r>
  <r>
    <n v="270"/>
    <s v="US-2018-145366"/>
    <d v="2018-12-09T00:00:00"/>
    <x v="4"/>
    <x v="3"/>
    <d v="2018-12-13T00:00:00"/>
    <n v="4"/>
    <x v="1"/>
    <s v="CA-12310"/>
    <x v="119"/>
    <x v="1"/>
    <s v="United States"/>
    <s v="Cincinnati"/>
    <s v="Ohio"/>
    <n v="45231"/>
    <x v="3"/>
    <s v="OFF-EN-10004386"/>
    <x v="1"/>
    <x v="12"/>
    <s v="Recycled Interoffice Envelopes with String and Button Closure, 10 x 13"/>
    <n v="57.576000000000001"/>
  </r>
  <r>
    <n v="271"/>
    <s v="CA-2018-163979"/>
    <d v="2018-12-28T00:00:00"/>
    <x v="4"/>
    <x v="3"/>
    <d v="2019-01-02T00:00:00"/>
    <n v="5"/>
    <x v="0"/>
    <s v="KH-16690"/>
    <x v="120"/>
    <x v="1"/>
    <s v="United States"/>
    <s v="San Francisco"/>
    <s v="California"/>
    <n v="94110"/>
    <x v="1"/>
    <s v="OFF-ST-10003208"/>
    <x v="1"/>
    <x v="4"/>
    <s v="Adjustable Depth Letter/Legal Cart"/>
    <n v="725.84"/>
  </r>
  <r>
    <n v="272"/>
    <s v="CA-2016-155334"/>
    <d v="2016-07-30T00:00:00"/>
    <x v="7"/>
    <x v="1"/>
    <d v="2016-07-31T00:00:00"/>
    <n v="1"/>
    <x v="2"/>
    <s v="HA-14920"/>
    <x v="66"/>
    <x v="0"/>
    <s v="United States"/>
    <s v="San Francisco"/>
    <s v="California"/>
    <n v="94109"/>
    <x v="1"/>
    <s v="TEC-AC-10003628"/>
    <x v="2"/>
    <x v="11"/>
    <s v="Logitech 910-002974 M325 Wireless Mouse for Web Scrolling"/>
    <n v="209.93"/>
  </r>
  <r>
    <n v="273"/>
    <s v="CA-2016-155334"/>
    <d v="2016-07-30T00:00:00"/>
    <x v="7"/>
    <x v="1"/>
    <d v="2016-07-31T00:00:00"/>
    <n v="1"/>
    <x v="2"/>
    <s v="HA-14920"/>
    <x v="66"/>
    <x v="0"/>
    <s v="United States"/>
    <s v="San Francisco"/>
    <s v="California"/>
    <n v="94109"/>
    <x v="1"/>
    <s v="FUR-FU-10003274"/>
    <x v="0"/>
    <x v="5"/>
    <s v="Regeneration Desk Collection"/>
    <n v="5.28"/>
  </r>
  <r>
    <n v="274"/>
    <s v="CA-2016-155334"/>
    <d v="2016-07-30T00:00:00"/>
    <x v="7"/>
    <x v="1"/>
    <d v="2016-07-31T00:00:00"/>
    <n v="1"/>
    <x v="2"/>
    <s v="HA-14920"/>
    <x v="66"/>
    <x v="0"/>
    <s v="United States"/>
    <s v="San Francisco"/>
    <s v="California"/>
    <n v="94109"/>
    <x v="1"/>
    <s v="OFF-BI-10002557"/>
    <x v="1"/>
    <x v="8"/>
    <s v="Presstex Flexible Ring Binders"/>
    <n v="10.92"/>
  </r>
  <r>
    <n v="275"/>
    <s v="CA-2018-118136"/>
    <d v="2018-09-16T00:00:00"/>
    <x v="8"/>
    <x v="3"/>
    <d v="2018-09-17T00:00:00"/>
    <n v="1"/>
    <x v="2"/>
    <s v="BB-10990"/>
    <x v="121"/>
    <x v="1"/>
    <s v="United States"/>
    <s v="Inglewood"/>
    <s v="California"/>
    <n v="90301"/>
    <x v="1"/>
    <s v="OFF-PA-10002615"/>
    <x v="1"/>
    <x v="10"/>
    <s v="Ampad Gold Fibre Wirebound Steno Books, 6&quot; x 9&quot;, Gregg Ruled"/>
    <n v="8.82"/>
  </r>
  <r>
    <n v="276"/>
    <s v="CA-2018-118136"/>
    <d v="2018-09-16T00:00:00"/>
    <x v="8"/>
    <x v="3"/>
    <d v="2018-09-17T00:00:00"/>
    <n v="1"/>
    <x v="2"/>
    <s v="BB-10990"/>
    <x v="121"/>
    <x v="1"/>
    <s v="United States"/>
    <s v="Inglewood"/>
    <s v="California"/>
    <n v="90301"/>
    <x v="1"/>
    <s v="OFF-AR-10001427"/>
    <x v="1"/>
    <x v="6"/>
    <s v="Newell 330"/>
    <n v="5.98"/>
  </r>
  <r>
    <n v="277"/>
    <s v="CA-2018-132976"/>
    <d v="2018-10-13T00:00:00"/>
    <x v="2"/>
    <x v="3"/>
    <d v="2018-10-17T00:00:00"/>
    <n v="4"/>
    <x v="1"/>
    <s v="AG-10495"/>
    <x v="122"/>
    <x v="1"/>
    <s v="United States"/>
    <s v="Philadelphia"/>
    <s v="Pennsylvania"/>
    <n v="19140"/>
    <x v="3"/>
    <s v="OFF-PA-10000673"/>
    <x v="1"/>
    <x v="10"/>
    <s v="Post-it â€œImportant Messageâ€ Note Pad, Neon Colors, 50 Sheets/Pad"/>
    <n v="11.648"/>
  </r>
  <r>
    <n v="278"/>
    <s v="CA-2018-132976"/>
    <d v="2018-10-13T00:00:00"/>
    <x v="2"/>
    <x v="3"/>
    <d v="2018-10-17T00:00:00"/>
    <n v="4"/>
    <x v="1"/>
    <s v="AG-10495"/>
    <x v="122"/>
    <x v="1"/>
    <s v="United States"/>
    <s v="Philadelphia"/>
    <s v="Pennsylvania"/>
    <n v="19140"/>
    <x v="3"/>
    <s v="OFF-PA-10004470"/>
    <x v="1"/>
    <x v="10"/>
    <s v="Adams Write n' Stick Phone Message Book, 11&quot; X 5 1/4&quot;, 200 Messages"/>
    <n v="18.175999999999998"/>
  </r>
  <r>
    <n v="279"/>
    <s v="CA-2018-132976"/>
    <d v="2018-10-13T00:00:00"/>
    <x v="2"/>
    <x v="3"/>
    <d v="2018-10-17T00:00:00"/>
    <n v="4"/>
    <x v="1"/>
    <s v="AG-10495"/>
    <x v="122"/>
    <x v="1"/>
    <s v="United States"/>
    <s v="Philadelphia"/>
    <s v="Pennsylvania"/>
    <n v="19140"/>
    <x v="3"/>
    <s v="OFF-ST-10000876"/>
    <x v="1"/>
    <x v="4"/>
    <s v="Eldon Simplefile Box Office"/>
    <n v="59.712000000000003"/>
  </r>
  <r>
    <n v="280"/>
    <s v="CA-2018-132976"/>
    <d v="2018-10-13T00:00:00"/>
    <x v="2"/>
    <x v="3"/>
    <d v="2018-10-17T00:00:00"/>
    <n v="4"/>
    <x v="1"/>
    <s v="AG-10495"/>
    <x v="122"/>
    <x v="1"/>
    <s v="United States"/>
    <s v="Philadelphia"/>
    <s v="Pennsylvania"/>
    <n v="19140"/>
    <x v="3"/>
    <s v="OFF-LA-10002043"/>
    <x v="1"/>
    <x v="2"/>
    <s v="Avery 489"/>
    <n v="24.84"/>
  </r>
  <r>
    <n v="281"/>
    <s v="US-2016-161991"/>
    <d v="2016-09-26T00:00:00"/>
    <x v="8"/>
    <x v="1"/>
    <d v="2016-09-28T00:00:00"/>
    <n v="2"/>
    <x v="0"/>
    <s v="SC-20725"/>
    <x v="56"/>
    <x v="0"/>
    <s v="United States"/>
    <s v="Houston"/>
    <s v="Texas"/>
    <n v="77070"/>
    <x v="2"/>
    <s v="OFF-BI-10004967"/>
    <x v="1"/>
    <x v="8"/>
    <s v="Round Ring Binders"/>
    <n v="2.08"/>
  </r>
  <r>
    <n v="282"/>
    <s v="US-2016-161991"/>
    <d v="2016-09-26T00:00:00"/>
    <x v="8"/>
    <x v="1"/>
    <d v="2016-09-28T00:00:00"/>
    <n v="2"/>
    <x v="0"/>
    <s v="SC-20725"/>
    <x v="56"/>
    <x v="0"/>
    <s v="United States"/>
    <s v="Houston"/>
    <s v="Texas"/>
    <n v="77070"/>
    <x v="2"/>
    <s v="TEC-PH-10001760"/>
    <x v="2"/>
    <x v="7"/>
    <s v="Bose SoundLink Bluetooth Speaker"/>
    <n v="1114.4000000000001"/>
  </r>
  <r>
    <n v="283"/>
    <s v="CA-2016-130890"/>
    <d v="2016-11-02T00:00:00"/>
    <x v="0"/>
    <x v="1"/>
    <d v="2016-11-06T00:00:00"/>
    <n v="4"/>
    <x v="1"/>
    <s v="JO-15280"/>
    <x v="123"/>
    <x v="0"/>
    <s v="United States"/>
    <s v="Los Angeles"/>
    <s v="California"/>
    <n v="90004"/>
    <x v="1"/>
    <s v="FUR-TA-10002903"/>
    <x v="0"/>
    <x v="3"/>
    <s v="Bevis Round Bullnose 29&quot; High Table Top"/>
    <n v="1038.8399999999999"/>
  </r>
  <r>
    <n v="284"/>
    <s v="CA-2016-130883"/>
    <d v="2016-09-26T00:00:00"/>
    <x v="8"/>
    <x v="1"/>
    <d v="2016-10-02T00:00:00"/>
    <n v="6"/>
    <x v="1"/>
    <s v="TB-21520"/>
    <x v="14"/>
    <x v="0"/>
    <s v="United States"/>
    <s v="Portland"/>
    <s v="Oregon"/>
    <n v="97206"/>
    <x v="1"/>
    <s v="OFF-PA-10000474"/>
    <x v="1"/>
    <x v="10"/>
    <s v="Easy-staple paper"/>
    <n v="141.76"/>
  </r>
  <r>
    <n v="285"/>
    <s v="CA-2016-130883"/>
    <d v="2016-09-26T00:00:00"/>
    <x v="8"/>
    <x v="1"/>
    <d v="2016-10-02T00:00:00"/>
    <n v="6"/>
    <x v="1"/>
    <s v="TB-21520"/>
    <x v="14"/>
    <x v="0"/>
    <s v="United States"/>
    <s v="Portland"/>
    <s v="Oregon"/>
    <n v="97206"/>
    <x v="1"/>
    <s v="TEC-AC-10001956"/>
    <x v="2"/>
    <x v="11"/>
    <s v="Microsoft Arc Touch Mouse"/>
    <n v="239.8"/>
  </r>
  <r>
    <n v="286"/>
    <s v="CA-2016-130883"/>
    <d v="2016-09-26T00:00:00"/>
    <x v="8"/>
    <x v="1"/>
    <d v="2016-10-02T00:00:00"/>
    <n v="6"/>
    <x v="1"/>
    <s v="TB-21520"/>
    <x v="14"/>
    <x v="0"/>
    <s v="United States"/>
    <s v="Portland"/>
    <s v="Oregon"/>
    <n v="97206"/>
    <x v="1"/>
    <s v="OFF-PA-10004100"/>
    <x v="1"/>
    <x v="10"/>
    <s v="Xerox 216"/>
    <n v="31.103999999999999"/>
  </r>
  <r>
    <n v="287"/>
    <s v="CA-2017-112697"/>
    <d v="2017-12-18T00:00:00"/>
    <x v="4"/>
    <x v="0"/>
    <d v="2017-12-20T00:00:00"/>
    <n v="2"/>
    <x v="0"/>
    <s v="AH-10195"/>
    <x v="124"/>
    <x v="1"/>
    <s v="United States"/>
    <s v="Tamarac"/>
    <s v="Florida"/>
    <n v="33319"/>
    <x v="0"/>
    <s v="OFF-BI-10000778"/>
    <x v="1"/>
    <x v="8"/>
    <s v="GBC VeloBinder Electric Binding Machine"/>
    <n v="254.05799999999999"/>
  </r>
  <r>
    <n v="288"/>
    <s v="CA-2017-112697"/>
    <d v="2017-12-18T00:00:00"/>
    <x v="4"/>
    <x v="0"/>
    <d v="2017-12-20T00:00:00"/>
    <n v="2"/>
    <x v="0"/>
    <s v="AH-10195"/>
    <x v="124"/>
    <x v="1"/>
    <s v="United States"/>
    <s v="Tamarac"/>
    <s v="Florida"/>
    <n v="33319"/>
    <x v="0"/>
    <s v="OFF-AP-10002684"/>
    <x v="1"/>
    <x v="9"/>
    <s v="Acco 7-Outlet Masterpiece Power Center, Wihtout Fax/Phone Line Protection"/>
    <n v="194.52799999999999"/>
  </r>
  <r>
    <n v="289"/>
    <s v="CA-2017-112697"/>
    <d v="2017-12-18T00:00:00"/>
    <x v="4"/>
    <x v="0"/>
    <d v="2017-12-20T00:00:00"/>
    <n v="2"/>
    <x v="0"/>
    <s v="AH-10195"/>
    <x v="124"/>
    <x v="1"/>
    <s v="United States"/>
    <s v="Tamarac"/>
    <s v="Florida"/>
    <n v="33319"/>
    <x v="0"/>
    <s v="OFF-SU-10000646"/>
    <x v="1"/>
    <x v="14"/>
    <s v="Premier Automatic Letter Opener"/>
    <n v="961.48"/>
  </r>
  <r>
    <n v="290"/>
    <s v="CA-2017-110772"/>
    <d v="2017-11-20T00:00:00"/>
    <x v="0"/>
    <x v="0"/>
    <d v="2017-11-24T00:00:00"/>
    <n v="4"/>
    <x v="0"/>
    <s v="NZ-18565"/>
    <x v="125"/>
    <x v="2"/>
    <s v="United States"/>
    <s v="Columbus"/>
    <s v="Ohio"/>
    <n v="43229"/>
    <x v="3"/>
    <s v="OFF-FA-10002983"/>
    <x v="1"/>
    <x v="13"/>
    <s v="Advantus SlideClip Paper Clips"/>
    <n v="19.096"/>
  </r>
  <r>
    <n v="291"/>
    <s v="CA-2017-110772"/>
    <d v="2017-11-20T00:00:00"/>
    <x v="0"/>
    <x v="0"/>
    <d v="2017-11-24T00:00:00"/>
    <n v="4"/>
    <x v="0"/>
    <s v="NZ-18565"/>
    <x v="125"/>
    <x v="2"/>
    <s v="United States"/>
    <s v="Columbus"/>
    <s v="Ohio"/>
    <n v="43229"/>
    <x v="3"/>
    <s v="OFF-LA-10004689"/>
    <x v="1"/>
    <x v="2"/>
    <s v="Avery 512"/>
    <n v="18.495999999999999"/>
  </r>
  <r>
    <n v="292"/>
    <s v="CA-2017-110772"/>
    <d v="2017-11-20T00:00:00"/>
    <x v="0"/>
    <x v="0"/>
    <d v="2017-11-24T00:00:00"/>
    <n v="4"/>
    <x v="0"/>
    <s v="NZ-18565"/>
    <x v="125"/>
    <x v="2"/>
    <s v="United States"/>
    <s v="Columbus"/>
    <s v="Ohio"/>
    <n v="43229"/>
    <x v="3"/>
    <s v="TEC-AC-10002001"/>
    <x v="2"/>
    <x v="11"/>
    <s v="Logitech Wireless Gaming Headset G930"/>
    <n v="255.98400000000001"/>
  </r>
  <r>
    <n v="293"/>
    <s v="CA-2017-110772"/>
    <d v="2017-11-20T00:00:00"/>
    <x v="0"/>
    <x v="0"/>
    <d v="2017-11-24T00:00:00"/>
    <n v="4"/>
    <x v="0"/>
    <s v="NZ-18565"/>
    <x v="125"/>
    <x v="2"/>
    <s v="United States"/>
    <s v="Columbus"/>
    <s v="Ohio"/>
    <n v="43229"/>
    <x v="3"/>
    <s v="FUR-BO-10004709"/>
    <x v="0"/>
    <x v="0"/>
    <s v="Bush Westfield Collection Bookcases, Medium Cherry Finish"/>
    <n v="86.97"/>
  </r>
  <r>
    <n v="294"/>
    <s v="CA-2015-111451"/>
    <d v="2015-12-26T00:00:00"/>
    <x v="4"/>
    <x v="2"/>
    <d v="2015-12-28T00:00:00"/>
    <n v="2"/>
    <x v="2"/>
    <s v="KL-16555"/>
    <x v="126"/>
    <x v="1"/>
    <s v="United States"/>
    <s v="Colorado Springs"/>
    <s v="Colorado"/>
    <n v="80906"/>
    <x v="1"/>
    <s v="FUR-FU-10004091"/>
    <x v="0"/>
    <x v="5"/>
    <s v="Howard Miller 13&quot; Diameter Goldtone Round Wall Clock"/>
    <n v="300.416"/>
  </r>
  <r>
    <n v="295"/>
    <s v="CA-2015-111451"/>
    <d v="2015-12-26T00:00:00"/>
    <x v="4"/>
    <x v="2"/>
    <d v="2015-12-28T00:00:00"/>
    <n v="2"/>
    <x v="2"/>
    <s v="KL-16555"/>
    <x v="126"/>
    <x v="1"/>
    <s v="United States"/>
    <s v="Colorado Springs"/>
    <s v="Colorado"/>
    <n v="80906"/>
    <x v="1"/>
    <s v="FUR-CH-10001891"/>
    <x v="0"/>
    <x v="1"/>
    <s v="Global Deluxe Office Fabric Chairs"/>
    <n v="230.352"/>
  </r>
  <r>
    <n v="296"/>
    <s v="CA-2015-111451"/>
    <d v="2015-12-26T00:00:00"/>
    <x v="4"/>
    <x v="2"/>
    <d v="2015-12-28T00:00:00"/>
    <n v="2"/>
    <x v="2"/>
    <s v="KL-16555"/>
    <x v="126"/>
    <x v="1"/>
    <s v="United States"/>
    <s v="Colorado Springs"/>
    <s v="Colorado"/>
    <n v="80906"/>
    <x v="1"/>
    <s v="FUR-FU-10002918"/>
    <x v="0"/>
    <x v="5"/>
    <s v="Eldon ClusterMat Chair Mat with Cordless Antistatic Protection"/>
    <n v="218.352"/>
  </r>
  <r>
    <n v="297"/>
    <s v="CA-2015-111451"/>
    <d v="2015-12-26T00:00:00"/>
    <x v="4"/>
    <x v="2"/>
    <d v="2015-12-28T00:00:00"/>
    <n v="2"/>
    <x v="2"/>
    <s v="KL-16555"/>
    <x v="126"/>
    <x v="1"/>
    <s v="United States"/>
    <s v="Colorado Springs"/>
    <s v="Colorado"/>
    <n v="80906"/>
    <x v="1"/>
    <s v="OFF-BI-10004593"/>
    <x v="1"/>
    <x v="8"/>
    <s v="Ibico Laser Imprintable Binding System Covers"/>
    <n v="78.599999999999994"/>
  </r>
  <r>
    <n v="298"/>
    <s v="CA-2015-111451"/>
    <d v="2015-12-26T00:00:00"/>
    <x v="4"/>
    <x v="2"/>
    <d v="2015-12-28T00:00:00"/>
    <n v="2"/>
    <x v="2"/>
    <s v="KL-16555"/>
    <x v="126"/>
    <x v="1"/>
    <s v="United States"/>
    <s v="Colorado Springs"/>
    <s v="Colorado"/>
    <n v="80906"/>
    <x v="1"/>
    <s v="OFF-FA-10004854"/>
    <x v="1"/>
    <x v="13"/>
    <s v="Vinyl Coated Wire Paper Clips in Organizer Box, 800/Box"/>
    <n v="27.552"/>
  </r>
  <r>
    <n v="299"/>
    <s v="CA-2017-142545"/>
    <d v="2017-10-28T00:00:00"/>
    <x v="2"/>
    <x v="0"/>
    <d v="2017-11-03T00:00:00"/>
    <n v="6"/>
    <x v="1"/>
    <s v="JD-15895"/>
    <x v="63"/>
    <x v="1"/>
    <s v="United States"/>
    <s v="Belleville"/>
    <s v="New Jersey"/>
    <n v="7109"/>
    <x v="3"/>
    <s v="OFF-PA-10002105"/>
    <x v="1"/>
    <x v="10"/>
    <s v="Xerox 223"/>
    <n v="32.4"/>
  </r>
  <r>
    <n v="300"/>
    <s v="CA-2017-142545"/>
    <d v="2017-10-28T00:00:00"/>
    <x v="2"/>
    <x v="0"/>
    <d v="2017-11-03T00:00:00"/>
    <n v="6"/>
    <x v="1"/>
    <s v="JD-15895"/>
    <x v="63"/>
    <x v="1"/>
    <s v="United States"/>
    <s v="Belleville"/>
    <s v="New Jersey"/>
    <n v="7109"/>
    <x v="3"/>
    <s v="OFF-ST-10002756"/>
    <x v="1"/>
    <x v="4"/>
    <s v="Tennsco Stur-D-Stor Boltless Shelving, 5 Shelves, 24&quot; Deep, Sand"/>
    <n v="1082.48"/>
  </r>
  <r>
    <n v="301"/>
    <s v="CA-2017-142545"/>
    <d v="2017-10-28T00:00:00"/>
    <x v="2"/>
    <x v="0"/>
    <d v="2017-11-03T00:00:00"/>
    <n v="6"/>
    <x v="1"/>
    <s v="JD-15895"/>
    <x v="63"/>
    <x v="1"/>
    <s v="United States"/>
    <s v="Belleville"/>
    <s v="New Jersey"/>
    <n v="7109"/>
    <x v="3"/>
    <s v="OFF-PA-10004243"/>
    <x v="1"/>
    <x v="10"/>
    <s v="Xerox 1939"/>
    <n v="56.91"/>
  </r>
  <r>
    <n v="302"/>
    <s v="CA-2017-142545"/>
    <d v="2017-10-28T00:00:00"/>
    <x v="2"/>
    <x v="0"/>
    <d v="2017-11-03T00:00:00"/>
    <n v="6"/>
    <x v="1"/>
    <s v="JD-15895"/>
    <x v="63"/>
    <x v="1"/>
    <s v="United States"/>
    <s v="Belleville"/>
    <s v="New Jersey"/>
    <n v="7109"/>
    <x v="3"/>
    <s v="FUR-FU-10001861"/>
    <x v="0"/>
    <x v="5"/>
    <s v="Floodlight Indoor Halogen Bulbs, 1 Bulb per Pack, 60 Watts"/>
    <n v="77.599999999999994"/>
  </r>
  <r>
    <n v="303"/>
    <s v="CA-2017-142545"/>
    <d v="2017-10-28T00:00:00"/>
    <x v="2"/>
    <x v="0"/>
    <d v="2017-11-03T00:00:00"/>
    <n v="6"/>
    <x v="1"/>
    <s v="JD-15895"/>
    <x v="63"/>
    <x v="1"/>
    <s v="United States"/>
    <s v="Belleville"/>
    <s v="New Jersey"/>
    <n v="7109"/>
    <x v="3"/>
    <s v="OFF-BI-10002706"/>
    <x v="1"/>
    <x v="8"/>
    <s v="Avery Premier Heavy-Duty Binder with Round Locking Rings"/>
    <n v="14.28"/>
  </r>
  <r>
    <n v="304"/>
    <s v="US-2018-152380"/>
    <d v="2018-11-19T00:00:00"/>
    <x v="0"/>
    <x v="3"/>
    <d v="2018-11-23T00:00:00"/>
    <n v="4"/>
    <x v="1"/>
    <s v="JH-15910"/>
    <x v="101"/>
    <x v="0"/>
    <s v="United States"/>
    <s v="Chicago"/>
    <s v="Illinois"/>
    <n v="60623"/>
    <x v="2"/>
    <s v="FUR-TA-10002533"/>
    <x v="0"/>
    <x v="3"/>
    <s v="BPI Conference Tables"/>
    <n v="219.07499999999999"/>
  </r>
  <r>
    <n v="305"/>
    <s v="CA-2016-144253"/>
    <d v="2016-05-04T00:00:00"/>
    <x v="5"/>
    <x v="1"/>
    <d v="2016-05-09T00:00:00"/>
    <n v="5"/>
    <x v="0"/>
    <s v="AS-10225"/>
    <x v="127"/>
    <x v="1"/>
    <s v="United States"/>
    <s v="New York City"/>
    <s v="New York"/>
    <n v="10024"/>
    <x v="3"/>
    <s v="FUR-FU-10002671"/>
    <x v="0"/>
    <x v="5"/>
    <s v="Electrix 20W Halogen Replacement Bulb for Zoom-In Desk Lamp"/>
    <n v="26.8"/>
  </r>
  <r>
    <n v="306"/>
    <s v="CA-2015-130960"/>
    <d v="2015-12-30T00:00:00"/>
    <x v="4"/>
    <x v="2"/>
    <d v="2016-01-04T00:00:00"/>
    <n v="5"/>
    <x v="1"/>
    <s v="KB-16600"/>
    <x v="33"/>
    <x v="1"/>
    <s v="United States"/>
    <s v="Taylor"/>
    <s v="Michigan"/>
    <n v="48180"/>
    <x v="2"/>
    <s v="OFF-AR-10003651"/>
    <x v="1"/>
    <x v="6"/>
    <s v="Newell 350"/>
    <n v="9.84"/>
  </r>
  <r>
    <n v="307"/>
    <s v="CA-2015-111003"/>
    <d v="2015-06-01T00:00:00"/>
    <x v="1"/>
    <x v="2"/>
    <d v="2015-06-06T00:00:00"/>
    <n v="5"/>
    <x v="1"/>
    <s v="CR-12625"/>
    <x v="128"/>
    <x v="2"/>
    <s v="United States"/>
    <s v="Lakewood"/>
    <s v="New Jersey"/>
    <n v="8701"/>
    <x v="3"/>
    <s v="OFF-BI-10001072"/>
    <x v="1"/>
    <x v="8"/>
    <s v="GBC Clear Cover, 8-1/2 x 11, unpunched, 25 covers per pack"/>
    <n v="45.48"/>
  </r>
  <r>
    <n v="308"/>
    <s v="CA-2015-111003"/>
    <d v="2015-06-01T00:00:00"/>
    <x v="1"/>
    <x v="2"/>
    <d v="2015-06-06T00:00:00"/>
    <n v="5"/>
    <x v="1"/>
    <s v="CR-12625"/>
    <x v="128"/>
    <x v="2"/>
    <s v="United States"/>
    <s v="Lakewood"/>
    <s v="New Jersey"/>
    <n v="8701"/>
    <x v="3"/>
    <s v="OFF-AR-10002135"/>
    <x v="1"/>
    <x v="6"/>
    <s v="Boston Heavy-Duty Trimline Electric Pencil Sharpeners"/>
    <n v="289.2"/>
  </r>
  <r>
    <n v="309"/>
    <s v="CA-2018-126774"/>
    <d v="2018-04-15T00:00:00"/>
    <x v="3"/>
    <x v="3"/>
    <d v="2018-04-17T00:00:00"/>
    <n v="2"/>
    <x v="2"/>
    <s v="SH-20395"/>
    <x v="129"/>
    <x v="0"/>
    <s v="United States"/>
    <s v="Arlington"/>
    <s v="Virginia"/>
    <n v="22204"/>
    <x v="0"/>
    <s v="OFF-AR-10002804"/>
    <x v="1"/>
    <x v="6"/>
    <s v="Faber Castell Col-Erase Pencils"/>
    <n v="4.8899999999999997"/>
  </r>
  <r>
    <n v="310"/>
    <s v="CA-2017-142902"/>
    <d v="2017-09-12T00:00:00"/>
    <x v="8"/>
    <x v="0"/>
    <d v="2017-09-14T00:00:00"/>
    <n v="2"/>
    <x v="0"/>
    <s v="BP-11185"/>
    <x v="130"/>
    <x v="1"/>
    <s v="United States"/>
    <s v="Arvada"/>
    <s v="Colorado"/>
    <n v="80004"/>
    <x v="1"/>
    <s v="FUR-FU-10001918"/>
    <x v="0"/>
    <x v="5"/>
    <s v="C-Line Cubicle Keepers Polyproplyene Holder With Velcro Backings"/>
    <n v="15.135999999999999"/>
  </r>
  <r>
    <n v="311"/>
    <s v="CA-2017-142902"/>
    <d v="2017-09-12T00:00:00"/>
    <x v="8"/>
    <x v="0"/>
    <d v="2017-09-14T00:00:00"/>
    <n v="2"/>
    <x v="0"/>
    <s v="BP-11185"/>
    <x v="130"/>
    <x v="1"/>
    <s v="United States"/>
    <s v="Arvada"/>
    <s v="Colorado"/>
    <n v="80004"/>
    <x v="1"/>
    <s v="FUR-CH-10004086"/>
    <x v="0"/>
    <x v="1"/>
    <s v="Hon 4070 Series Pagoda Armless Upholstered Stacking Chairs"/>
    <n v="466.76799999999997"/>
  </r>
  <r>
    <n v="312"/>
    <s v="CA-2017-142902"/>
    <d v="2017-09-12T00:00:00"/>
    <x v="8"/>
    <x v="0"/>
    <d v="2017-09-14T00:00:00"/>
    <n v="2"/>
    <x v="0"/>
    <s v="BP-11185"/>
    <x v="130"/>
    <x v="1"/>
    <s v="United States"/>
    <s v="Arvada"/>
    <s v="Colorado"/>
    <n v="80004"/>
    <x v="1"/>
    <s v="FUR-FU-10001756"/>
    <x v="0"/>
    <x v="5"/>
    <s v="Eldon Expressions Desk Accessory, Wood Photo Frame, Mahogany"/>
    <n v="15.231999999999999"/>
  </r>
  <r>
    <n v="313"/>
    <s v="CA-2017-142902"/>
    <d v="2017-09-12T00:00:00"/>
    <x v="8"/>
    <x v="0"/>
    <d v="2017-09-14T00:00:00"/>
    <n v="2"/>
    <x v="0"/>
    <s v="BP-11185"/>
    <x v="130"/>
    <x v="1"/>
    <s v="United States"/>
    <s v="Arvada"/>
    <s v="Colorado"/>
    <n v="80004"/>
    <x v="1"/>
    <s v="OFF-LA-10000634"/>
    <x v="1"/>
    <x v="2"/>
    <s v="Avery 509"/>
    <n v="6.2640000000000002"/>
  </r>
  <r>
    <n v="314"/>
    <s v="CA-2015-120887"/>
    <d v="2015-09-27T00:00:00"/>
    <x v="8"/>
    <x v="2"/>
    <d v="2015-10-03T00:00:00"/>
    <n v="6"/>
    <x v="1"/>
    <s v="TS-21205"/>
    <x v="131"/>
    <x v="1"/>
    <s v="United States"/>
    <s v="Hackensack"/>
    <s v="New Jersey"/>
    <n v="7601"/>
    <x v="3"/>
    <s v="FUR-FU-10001588"/>
    <x v="0"/>
    <x v="5"/>
    <s v="Deflect-o SuperTray Unbreakable Stackable Tray, Letter, Black"/>
    <n v="87.54"/>
  </r>
  <r>
    <n v="315"/>
    <s v="CA-2015-167850"/>
    <d v="2015-08-09T00:00:00"/>
    <x v="6"/>
    <x v="2"/>
    <d v="2015-08-16T00:00:00"/>
    <n v="7"/>
    <x v="1"/>
    <s v="AG-10525"/>
    <x v="132"/>
    <x v="1"/>
    <s v="United States"/>
    <s v="Saint Petersburg"/>
    <s v="Florida"/>
    <n v="33710"/>
    <x v="0"/>
    <s v="TEC-PH-10002398"/>
    <x v="2"/>
    <x v="7"/>
    <s v="AT&amp;T 1070 Corded Phone"/>
    <n v="178.38399999999999"/>
  </r>
  <r>
    <n v="316"/>
    <s v="CA-2015-167850"/>
    <d v="2015-08-09T00:00:00"/>
    <x v="6"/>
    <x v="2"/>
    <d v="2015-08-16T00:00:00"/>
    <n v="7"/>
    <x v="1"/>
    <s v="AG-10525"/>
    <x v="132"/>
    <x v="1"/>
    <s v="United States"/>
    <s v="Saint Petersburg"/>
    <s v="Florida"/>
    <n v="33710"/>
    <x v="0"/>
    <s v="OFF-PA-10001937"/>
    <x v="1"/>
    <x v="10"/>
    <s v="Xerox 21"/>
    <n v="15.552"/>
  </r>
  <r>
    <n v="317"/>
    <s v="CA-2015-164259"/>
    <d v="2015-12-28T00:00:00"/>
    <x v="4"/>
    <x v="2"/>
    <d v="2015-12-30T00:00:00"/>
    <n v="2"/>
    <x v="2"/>
    <s v="SP-20860"/>
    <x v="133"/>
    <x v="1"/>
    <s v="United States"/>
    <s v="Philadelphia"/>
    <s v="Pennsylvania"/>
    <n v="19143"/>
    <x v="3"/>
    <s v="OFF-AR-10003373"/>
    <x v="1"/>
    <x v="6"/>
    <s v="Boston School Pro Electric Pencil Sharpener, 1670"/>
    <n v="99.135999999999996"/>
  </r>
  <r>
    <n v="318"/>
    <s v="CA-2015-164973"/>
    <d v="2015-11-04T00:00:00"/>
    <x v="0"/>
    <x v="2"/>
    <d v="2015-11-09T00:00:00"/>
    <n v="5"/>
    <x v="1"/>
    <s v="NM-18445"/>
    <x v="134"/>
    <x v="2"/>
    <s v="United States"/>
    <s v="New York City"/>
    <s v="New York"/>
    <n v="10024"/>
    <x v="3"/>
    <s v="FUR-CH-10002602"/>
    <x v="0"/>
    <x v="1"/>
    <s v="DMI Arturo Collection Mission-style Design Wood Chair"/>
    <n v="135.88200000000001"/>
  </r>
  <r>
    <n v="319"/>
    <s v="CA-2015-164973"/>
    <d v="2015-11-04T00:00:00"/>
    <x v="0"/>
    <x v="2"/>
    <d v="2015-11-09T00:00:00"/>
    <n v="5"/>
    <x v="1"/>
    <s v="NM-18445"/>
    <x v="134"/>
    <x v="2"/>
    <s v="United States"/>
    <s v="New York City"/>
    <s v="New York"/>
    <n v="10024"/>
    <x v="3"/>
    <s v="TEC-MA-10002927"/>
    <x v="2"/>
    <x v="15"/>
    <s v="Canon imageCLASS MF7460 Monochrome Digital Laser Multifunction Copier"/>
    <n v="3991.98"/>
  </r>
  <r>
    <n v="320"/>
    <s v="CA-2015-164973"/>
    <d v="2015-11-04T00:00:00"/>
    <x v="0"/>
    <x v="2"/>
    <d v="2015-11-09T00:00:00"/>
    <n v="5"/>
    <x v="1"/>
    <s v="NM-18445"/>
    <x v="134"/>
    <x v="2"/>
    <s v="United States"/>
    <s v="New York City"/>
    <s v="New York"/>
    <n v="10024"/>
    <x v="3"/>
    <s v="TEC-PH-10004093"/>
    <x v="2"/>
    <x v="7"/>
    <s v="Panasonic Kx-TS550"/>
    <n v="275.94"/>
  </r>
  <r>
    <n v="321"/>
    <s v="CA-2015-164973"/>
    <d v="2015-11-04T00:00:00"/>
    <x v="0"/>
    <x v="2"/>
    <d v="2015-11-09T00:00:00"/>
    <n v="5"/>
    <x v="1"/>
    <s v="NM-18445"/>
    <x v="134"/>
    <x v="2"/>
    <s v="United States"/>
    <s v="New York City"/>
    <s v="New York"/>
    <n v="10024"/>
    <x v="3"/>
    <s v="TEC-AC-10000892"/>
    <x v="2"/>
    <x v="11"/>
    <s v="NETGEAR N750 Dual Band Wi-Fi Gigabit Router"/>
    <n v="360"/>
  </r>
  <r>
    <n v="322"/>
    <s v="CA-2015-164973"/>
    <d v="2015-11-04T00:00:00"/>
    <x v="0"/>
    <x v="2"/>
    <d v="2015-11-09T00:00:00"/>
    <n v="5"/>
    <x v="1"/>
    <s v="NM-18445"/>
    <x v="134"/>
    <x v="2"/>
    <s v="United States"/>
    <s v="New York City"/>
    <s v="New York"/>
    <n v="10024"/>
    <x v="3"/>
    <s v="OFF-ST-10002974"/>
    <x v="1"/>
    <x v="4"/>
    <s v="Trav-L-File Heavy-Duty Shuttle II, Black"/>
    <n v="43.57"/>
  </r>
  <r>
    <n v="323"/>
    <s v="CA-2015-156601"/>
    <d v="2015-09-19T00:00:00"/>
    <x v="8"/>
    <x v="2"/>
    <d v="2015-09-24T00:00:00"/>
    <n v="5"/>
    <x v="1"/>
    <s v="FA-14230"/>
    <x v="135"/>
    <x v="1"/>
    <s v="United States"/>
    <s v="Long Beach"/>
    <s v="California"/>
    <n v="90805"/>
    <x v="1"/>
    <s v="OFF-FA-10000624"/>
    <x v="1"/>
    <x v="13"/>
    <s v="OIC Binder Clips"/>
    <n v="7.16"/>
  </r>
  <r>
    <n v="324"/>
    <s v="CA-2017-162138"/>
    <d v="2017-04-23T00:00:00"/>
    <x v="3"/>
    <x v="0"/>
    <d v="2017-04-27T00:00:00"/>
    <n v="4"/>
    <x v="1"/>
    <s v="GK-14620"/>
    <x v="136"/>
    <x v="1"/>
    <s v="United States"/>
    <s v="Hesperia"/>
    <s v="California"/>
    <n v="92345"/>
    <x v="1"/>
    <s v="OFF-BI-10004593"/>
    <x v="1"/>
    <x v="8"/>
    <s v="Ibico Laser Imprintable Binding System Covers"/>
    <n v="251.52"/>
  </r>
  <r>
    <n v="325"/>
    <s v="CA-2017-162138"/>
    <d v="2017-04-23T00:00:00"/>
    <x v="3"/>
    <x v="0"/>
    <d v="2017-04-27T00:00:00"/>
    <n v="4"/>
    <x v="1"/>
    <s v="GK-14620"/>
    <x v="136"/>
    <x v="1"/>
    <s v="United States"/>
    <s v="Hesperia"/>
    <s v="California"/>
    <n v="92345"/>
    <x v="1"/>
    <s v="TEC-AC-10001908"/>
    <x v="2"/>
    <x v="11"/>
    <s v="Logitech Wireless Headset h800"/>
    <n v="99.99"/>
  </r>
  <r>
    <n v="326"/>
    <s v="CA-2018-153339"/>
    <d v="2018-11-03T00:00:00"/>
    <x v="0"/>
    <x v="3"/>
    <d v="2018-11-05T00:00:00"/>
    <n v="2"/>
    <x v="0"/>
    <s v="DJ-13510"/>
    <x v="137"/>
    <x v="1"/>
    <s v="United States"/>
    <s v="Murfreesboro"/>
    <s v="Tennessee"/>
    <n v="37130"/>
    <x v="0"/>
    <s v="FUR-FU-10001967"/>
    <x v="0"/>
    <x v="5"/>
    <s v="Telescoping Adjustable Floor Lamp"/>
    <n v="15.992000000000001"/>
  </r>
  <r>
    <n v="327"/>
    <s v="US-2017-141544"/>
    <d v="2017-08-30T00:00:00"/>
    <x v="6"/>
    <x v="0"/>
    <d v="2017-09-01T00:00:00"/>
    <n v="2"/>
    <x v="2"/>
    <s v="PO-18850"/>
    <x v="138"/>
    <x v="0"/>
    <s v="United States"/>
    <s v="Philadelphia"/>
    <s v="Pennsylvania"/>
    <n v="19143"/>
    <x v="3"/>
    <s v="TEC-PH-10003645"/>
    <x v="2"/>
    <x v="7"/>
    <s v="Aastra 57i VoIP phone"/>
    <n v="290.89800000000002"/>
  </r>
  <r>
    <n v="328"/>
    <s v="US-2017-141544"/>
    <d v="2017-08-30T00:00:00"/>
    <x v="6"/>
    <x v="0"/>
    <d v="2017-09-01T00:00:00"/>
    <n v="2"/>
    <x v="2"/>
    <s v="PO-18850"/>
    <x v="138"/>
    <x v="0"/>
    <s v="United States"/>
    <s v="Philadelphia"/>
    <s v="Pennsylvania"/>
    <n v="19143"/>
    <x v="3"/>
    <s v="OFF-ST-10000675"/>
    <x v="1"/>
    <x v="4"/>
    <s v="File Shuttle II and Handi-File, Black"/>
    <n v="54.223999999999997"/>
  </r>
  <r>
    <n v="329"/>
    <s v="US-2017-141544"/>
    <d v="2017-08-30T00:00:00"/>
    <x v="6"/>
    <x v="0"/>
    <d v="2017-09-01T00:00:00"/>
    <n v="2"/>
    <x v="2"/>
    <s v="PO-18850"/>
    <x v="138"/>
    <x v="0"/>
    <s v="United States"/>
    <s v="Philadelphia"/>
    <s v="Pennsylvania"/>
    <n v="19143"/>
    <x v="3"/>
    <s v="FUR-CH-10003312"/>
    <x v="0"/>
    <x v="1"/>
    <s v="Hon 2090 â€œPillow Softâ€ Series Mid Back Swivel/Tilt Chairs"/>
    <n v="786.74400000000003"/>
  </r>
  <r>
    <n v="330"/>
    <s v="US-2017-141544"/>
    <d v="2017-08-30T00:00:00"/>
    <x v="6"/>
    <x v="0"/>
    <d v="2017-09-01T00:00:00"/>
    <n v="2"/>
    <x v="2"/>
    <s v="PO-18850"/>
    <x v="138"/>
    <x v="0"/>
    <s v="United States"/>
    <s v="Philadelphia"/>
    <s v="Pennsylvania"/>
    <n v="19143"/>
    <x v="3"/>
    <s v="OFF-LA-10001074"/>
    <x v="1"/>
    <x v="2"/>
    <s v="Round Specialty Laser Printer Labels"/>
    <n v="100.24"/>
  </r>
  <r>
    <n v="331"/>
    <s v="US-2017-141544"/>
    <d v="2017-08-30T00:00:00"/>
    <x v="6"/>
    <x v="0"/>
    <d v="2017-09-01T00:00:00"/>
    <n v="2"/>
    <x v="2"/>
    <s v="PO-18850"/>
    <x v="138"/>
    <x v="0"/>
    <s v="United States"/>
    <s v="Philadelphia"/>
    <s v="Pennsylvania"/>
    <n v="19143"/>
    <x v="3"/>
    <s v="OFF-BI-10001524"/>
    <x v="1"/>
    <x v="8"/>
    <s v="GBC Premium Transparent Covers with Diagonal Lined Pattern"/>
    <n v="37.764000000000003"/>
  </r>
  <r>
    <n v="332"/>
    <s v="US-2017-150147"/>
    <d v="2017-04-25T00:00:00"/>
    <x v="3"/>
    <x v="0"/>
    <d v="2017-04-29T00:00:00"/>
    <n v="4"/>
    <x v="0"/>
    <s v="JL-15850"/>
    <x v="139"/>
    <x v="0"/>
    <s v="United States"/>
    <s v="Philadelphia"/>
    <s v="Pennsylvania"/>
    <n v="19134"/>
    <x v="3"/>
    <s v="TEC-PH-10004614"/>
    <x v="2"/>
    <x v="7"/>
    <s v="AT&amp;T 841000 Phone"/>
    <n v="82.8"/>
  </r>
  <r>
    <n v="333"/>
    <s v="US-2017-150147"/>
    <d v="2017-04-25T00:00:00"/>
    <x v="3"/>
    <x v="0"/>
    <d v="2017-04-29T00:00:00"/>
    <n v="4"/>
    <x v="0"/>
    <s v="JL-15850"/>
    <x v="139"/>
    <x v="0"/>
    <s v="United States"/>
    <s v="Philadelphia"/>
    <s v="Pennsylvania"/>
    <n v="19134"/>
    <x v="3"/>
    <s v="OFF-BI-10001153"/>
    <x v="1"/>
    <x v="8"/>
    <s v="Ibico Recycled Grain-Textured Covers"/>
    <n v="20.724"/>
  </r>
  <r>
    <n v="334"/>
    <s v="US-2017-150147"/>
    <d v="2017-04-25T00:00:00"/>
    <x v="3"/>
    <x v="0"/>
    <d v="2017-04-29T00:00:00"/>
    <n v="4"/>
    <x v="0"/>
    <s v="JL-15850"/>
    <x v="139"/>
    <x v="0"/>
    <s v="United States"/>
    <s v="Philadelphia"/>
    <s v="Pennsylvania"/>
    <n v="19134"/>
    <x v="3"/>
    <s v="OFF-BI-10001982"/>
    <x v="1"/>
    <x v="8"/>
    <s v="Wilson Jones Custom Binder Spines &amp; Labels"/>
    <n v="4.8959999999999999"/>
  </r>
  <r>
    <n v="335"/>
    <s v="CA-2016-137946"/>
    <d v="2016-09-01T00:00:00"/>
    <x v="8"/>
    <x v="1"/>
    <d v="2016-09-04T00:00:00"/>
    <n v="3"/>
    <x v="0"/>
    <s v="DB-13615"/>
    <x v="140"/>
    <x v="0"/>
    <s v="United States"/>
    <s v="Los Angeles"/>
    <s v="California"/>
    <n v="90045"/>
    <x v="1"/>
    <s v="OFF-BI-10001922"/>
    <x v="1"/>
    <x v="8"/>
    <s v="Storex Dura Pro Binders"/>
    <n v="4.7519999999999998"/>
  </r>
  <r>
    <n v="336"/>
    <s v="CA-2016-137946"/>
    <d v="2016-09-01T00:00:00"/>
    <x v="8"/>
    <x v="1"/>
    <d v="2016-09-04T00:00:00"/>
    <n v="3"/>
    <x v="0"/>
    <s v="DB-13615"/>
    <x v="140"/>
    <x v="0"/>
    <s v="United States"/>
    <s v="Los Angeles"/>
    <s v="California"/>
    <n v="90045"/>
    <x v="1"/>
    <s v="TEC-CO-10001449"/>
    <x v="2"/>
    <x v="16"/>
    <s v="Hewlett Packard LaserJet 3310 Copier"/>
    <n v="959.98400000000004"/>
  </r>
  <r>
    <n v="337"/>
    <s v="CA-2016-137946"/>
    <d v="2016-09-01T00:00:00"/>
    <x v="8"/>
    <x v="1"/>
    <d v="2016-09-04T00:00:00"/>
    <n v="3"/>
    <x v="0"/>
    <s v="DB-13615"/>
    <x v="140"/>
    <x v="0"/>
    <s v="United States"/>
    <s v="Los Angeles"/>
    <s v="California"/>
    <n v="90045"/>
    <x v="1"/>
    <s v="OFF-BI-10004140"/>
    <x v="1"/>
    <x v="8"/>
    <s v="Avery Non-Stick Binders"/>
    <n v="14.368"/>
  </r>
  <r>
    <n v="338"/>
    <s v="CA-2015-129924"/>
    <d v="2015-07-12T00:00:00"/>
    <x v="7"/>
    <x v="2"/>
    <d v="2015-07-17T00:00:00"/>
    <n v="5"/>
    <x v="1"/>
    <s v="AC-10420"/>
    <x v="141"/>
    <x v="1"/>
    <s v="United States"/>
    <s v="San Francisco"/>
    <s v="California"/>
    <n v="94122"/>
    <x v="1"/>
    <s v="OFF-BI-10003314"/>
    <x v="1"/>
    <x v="8"/>
    <s v="Tuff Stuff Recycled Round Ring Binders"/>
    <n v="7.7119999999999997"/>
  </r>
  <r>
    <n v="339"/>
    <s v="CA-2015-129924"/>
    <d v="2015-07-12T00:00:00"/>
    <x v="7"/>
    <x v="2"/>
    <d v="2015-07-17T00:00:00"/>
    <n v="5"/>
    <x v="1"/>
    <s v="AC-10420"/>
    <x v="141"/>
    <x v="1"/>
    <s v="United States"/>
    <s v="San Francisco"/>
    <s v="California"/>
    <n v="94122"/>
    <x v="1"/>
    <s v="FUR-TA-10004575"/>
    <x v="0"/>
    <x v="3"/>
    <s v="Hon 5100 Series Wood Tables"/>
    <n v="698.35199999999998"/>
  </r>
  <r>
    <n v="340"/>
    <s v="CA-2016-128167"/>
    <d v="2016-06-22T00:00:00"/>
    <x v="1"/>
    <x v="1"/>
    <d v="2016-06-26T00:00:00"/>
    <n v="4"/>
    <x v="0"/>
    <s v="KL-16645"/>
    <x v="107"/>
    <x v="0"/>
    <s v="United States"/>
    <s v="Layton"/>
    <s v="Utah"/>
    <n v="84041"/>
    <x v="1"/>
    <s v="OFF-FA-10000490"/>
    <x v="1"/>
    <x v="13"/>
    <s v="OIC Binder Clips, Mini, 1/4&quot; Capacity, Black"/>
    <n v="4.96"/>
  </r>
  <r>
    <n v="341"/>
    <s v="CA-2015-122336"/>
    <d v="2015-04-13T00:00:00"/>
    <x v="3"/>
    <x v="2"/>
    <d v="2015-04-17T00:00:00"/>
    <n v="4"/>
    <x v="0"/>
    <s v="JD-15895"/>
    <x v="63"/>
    <x v="1"/>
    <s v="United States"/>
    <s v="Philadelphia"/>
    <s v="Pennsylvania"/>
    <n v="19140"/>
    <x v="3"/>
    <s v="OFF-AR-10000122"/>
    <x v="1"/>
    <x v="6"/>
    <s v="Newell 314"/>
    <n v="17.856000000000002"/>
  </r>
  <r>
    <n v="342"/>
    <s v="CA-2015-122336"/>
    <d v="2015-04-13T00:00:00"/>
    <x v="3"/>
    <x v="2"/>
    <d v="2015-04-17T00:00:00"/>
    <n v="4"/>
    <x v="0"/>
    <s v="JD-15895"/>
    <x v="63"/>
    <x v="1"/>
    <s v="United States"/>
    <s v="Philadelphia"/>
    <s v="Pennsylvania"/>
    <n v="19140"/>
    <x v="3"/>
    <s v="OFF-BI-10003656"/>
    <x v="1"/>
    <x v="8"/>
    <s v="Fellowes PB200 Plastic Comb Binding Machine"/>
    <n v="509.97"/>
  </r>
  <r>
    <n v="343"/>
    <s v="CA-2015-122336"/>
    <d v="2015-04-13T00:00:00"/>
    <x v="3"/>
    <x v="2"/>
    <d v="2015-04-17T00:00:00"/>
    <n v="4"/>
    <x v="0"/>
    <s v="JD-15895"/>
    <x v="63"/>
    <x v="1"/>
    <s v="United States"/>
    <s v="Philadelphia"/>
    <s v="Pennsylvania"/>
    <n v="19140"/>
    <x v="3"/>
    <s v="OFF-FA-10002780"/>
    <x v="1"/>
    <x v="13"/>
    <s v="Staples"/>
    <n v="30.992000000000001"/>
  </r>
  <r>
    <n v="344"/>
    <s v="CA-2015-122336"/>
    <d v="2015-04-13T00:00:00"/>
    <x v="3"/>
    <x v="2"/>
    <d v="2015-04-17T00:00:00"/>
    <n v="4"/>
    <x v="0"/>
    <s v="JD-15895"/>
    <x v="63"/>
    <x v="1"/>
    <s v="United States"/>
    <s v="Philadelphia"/>
    <s v="Pennsylvania"/>
    <n v="19140"/>
    <x v="3"/>
    <s v="TEC-PH-10000702"/>
    <x v="2"/>
    <x v="7"/>
    <s v="Square Credit Card Reader, 4 1/2&quot; x 4 1/2&quot; x 1&quot;, White"/>
    <n v="71.927999999999997"/>
  </r>
  <r>
    <n v="345"/>
    <s v="US-2016-120712"/>
    <d v="2016-12-20T00:00:00"/>
    <x v="4"/>
    <x v="1"/>
    <d v="2016-12-24T00:00:00"/>
    <n v="4"/>
    <x v="1"/>
    <s v="CS-12130"/>
    <x v="79"/>
    <x v="0"/>
    <s v="United States"/>
    <s v="Austin"/>
    <s v="Texas"/>
    <n v="78745"/>
    <x v="2"/>
    <s v="OFF-ST-10000107"/>
    <x v="1"/>
    <x v="4"/>
    <s v="Fellowes Super Stor/Drawer"/>
    <n v="88.8"/>
  </r>
  <r>
    <n v="346"/>
    <s v="CA-2018-169901"/>
    <d v="2018-06-15T00:00:00"/>
    <x v="1"/>
    <x v="3"/>
    <d v="2018-06-19T00:00:00"/>
    <n v="4"/>
    <x v="1"/>
    <s v="CC-12550"/>
    <x v="142"/>
    <x v="0"/>
    <s v="United States"/>
    <s v="San Francisco"/>
    <s v="California"/>
    <n v="94122"/>
    <x v="1"/>
    <s v="TEC-PH-10002293"/>
    <x v="2"/>
    <x v="7"/>
    <s v="Anker 36W 4-Port USB Wall Charger Travel Power Adapter for iPhone 5s 5c 5"/>
    <n v="47.975999999999999"/>
  </r>
  <r>
    <n v="347"/>
    <s v="CA-2018-134306"/>
    <d v="2018-07-08T00:00:00"/>
    <x v="7"/>
    <x v="3"/>
    <d v="2018-07-12T00:00:00"/>
    <n v="4"/>
    <x v="1"/>
    <s v="TD-20995"/>
    <x v="143"/>
    <x v="0"/>
    <s v="United States"/>
    <s v="Lowell"/>
    <s v="Massachusetts"/>
    <n v="1852"/>
    <x v="3"/>
    <s v="OFF-AR-10004027"/>
    <x v="1"/>
    <x v="6"/>
    <s v="Binney &amp; Smith inkTank Erasable Desk Highlighter, Chisel Tip, Yellow, 12/Box"/>
    <n v="7.56"/>
  </r>
  <r>
    <n v="348"/>
    <s v="CA-2018-134306"/>
    <d v="2018-07-08T00:00:00"/>
    <x v="7"/>
    <x v="3"/>
    <d v="2018-07-12T00:00:00"/>
    <n v="4"/>
    <x v="1"/>
    <s v="TD-20995"/>
    <x v="143"/>
    <x v="0"/>
    <s v="United States"/>
    <s v="Lowell"/>
    <s v="Massachusetts"/>
    <n v="1852"/>
    <x v="3"/>
    <s v="OFF-PA-10000249"/>
    <x v="1"/>
    <x v="10"/>
    <s v="Easy-staple paper"/>
    <n v="24.56"/>
  </r>
  <r>
    <n v="349"/>
    <s v="CA-2018-134306"/>
    <d v="2018-07-08T00:00:00"/>
    <x v="7"/>
    <x v="3"/>
    <d v="2018-07-12T00:00:00"/>
    <n v="4"/>
    <x v="1"/>
    <s v="TD-20995"/>
    <x v="143"/>
    <x v="0"/>
    <s v="United States"/>
    <s v="Lowell"/>
    <s v="Massachusetts"/>
    <n v="1852"/>
    <x v="3"/>
    <s v="OFF-AR-10001374"/>
    <x v="1"/>
    <x v="6"/>
    <s v="BIC Brite Liner Highlighters, Chisel Tip"/>
    <n v="12.96"/>
  </r>
  <r>
    <n v="350"/>
    <s v="CA-2017-129714"/>
    <d v="2017-09-01T00:00:00"/>
    <x v="8"/>
    <x v="0"/>
    <d v="2017-09-03T00:00:00"/>
    <n v="2"/>
    <x v="2"/>
    <s v="AB-10060"/>
    <x v="144"/>
    <x v="2"/>
    <s v="United States"/>
    <s v="New York City"/>
    <s v="New York"/>
    <n v="10009"/>
    <x v="3"/>
    <s v="TEC-AC-10000290"/>
    <x v="2"/>
    <x v="11"/>
    <s v="Sabrent 4-Port USB 2.0 Hub"/>
    <n v="6.79"/>
  </r>
  <r>
    <n v="351"/>
    <s v="CA-2017-129714"/>
    <d v="2017-09-01T00:00:00"/>
    <x v="8"/>
    <x v="0"/>
    <d v="2017-09-03T00:00:00"/>
    <n v="2"/>
    <x v="2"/>
    <s v="AB-10060"/>
    <x v="144"/>
    <x v="2"/>
    <s v="United States"/>
    <s v="New York City"/>
    <s v="New York"/>
    <n v="10009"/>
    <x v="3"/>
    <s v="OFF-PA-10001970"/>
    <x v="1"/>
    <x v="10"/>
    <s v="Xerox 1881"/>
    <n v="24.56"/>
  </r>
  <r>
    <n v="352"/>
    <s v="CA-2017-129714"/>
    <d v="2017-09-01T00:00:00"/>
    <x v="8"/>
    <x v="0"/>
    <d v="2017-09-03T00:00:00"/>
    <n v="2"/>
    <x v="2"/>
    <s v="AB-10060"/>
    <x v="144"/>
    <x v="2"/>
    <s v="United States"/>
    <s v="New York City"/>
    <s v="New York"/>
    <n v="10009"/>
    <x v="3"/>
    <s v="OFF-BI-10002160"/>
    <x v="1"/>
    <x v="8"/>
    <s v="Acco Hanging Data Binders"/>
    <n v="3.048"/>
  </r>
  <r>
    <n v="353"/>
    <s v="CA-2017-129714"/>
    <d v="2017-09-01T00:00:00"/>
    <x v="8"/>
    <x v="0"/>
    <d v="2017-09-03T00:00:00"/>
    <n v="2"/>
    <x v="2"/>
    <s v="AB-10060"/>
    <x v="144"/>
    <x v="2"/>
    <s v="United States"/>
    <s v="New York City"/>
    <s v="New York"/>
    <n v="10009"/>
    <x v="3"/>
    <s v="OFF-PA-10001970"/>
    <x v="1"/>
    <x v="10"/>
    <s v="Xerox 1881"/>
    <n v="49.12"/>
  </r>
  <r>
    <n v="354"/>
    <s v="CA-2017-129714"/>
    <d v="2017-09-01T00:00:00"/>
    <x v="8"/>
    <x v="0"/>
    <d v="2017-09-03T00:00:00"/>
    <n v="2"/>
    <x v="2"/>
    <s v="AB-10060"/>
    <x v="144"/>
    <x v="2"/>
    <s v="United States"/>
    <s v="New York City"/>
    <s v="New York"/>
    <n v="10009"/>
    <x v="3"/>
    <s v="OFF-BI-10004995"/>
    <x v="1"/>
    <x v="8"/>
    <s v="GBC DocuBind P400 Electric Binding System"/>
    <n v="4355.1679999999997"/>
  </r>
  <r>
    <n v="355"/>
    <s v="CA-2017-138520"/>
    <d v="2017-04-08T00:00:00"/>
    <x v="3"/>
    <x v="0"/>
    <d v="2017-04-13T00:00:00"/>
    <n v="5"/>
    <x v="1"/>
    <s v="JL-15505"/>
    <x v="145"/>
    <x v="0"/>
    <s v="United States"/>
    <s v="New York City"/>
    <s v="New York"/>
    <n v="10035"/>
    <x v="3"/>
    <s v="FUR-BO-10002268"/>
    <x v="0"/>
    <x v="0"/>
    <s v="Sauder Barrister Bookcases"/>
    <n v="388.70400000000001"/>
  </r>
  <r>
    <n v="356"/>
    <s v="CA-2017-138520"/>
    <d v="2017-04-08T00:00:00"/>
    <x v="3"/>
    <x v="0"/>
    <d v="2017-04-13T00:00:00"/>
    <n v="5"/>
    <x v="1"/>
    <s v="JL-15505"/>
    <x v="145"/>
    <x v="0"/>
    <s v="United States"/>
    <s v="New York City"/>
    <s v="New York"/>
    <n v="10035"/>
    <x v="3"/>
    <s v="OFF-EN-10001137"/>
    <x v="1"/>
    <x v="12"/>
    <s v="#10 Gummed Flap White Envelopes, 100/Box"/>
    <n v="8.26"/>
  </r>
  <r>
    <n v="357"/>
    <s v="CA-2017-138520"/>
    <d v="2017-04-08T00:00:00"/>
    <x v="3"/>
    <x v="0"/>
    <d v="2017-04-13T00:00:00"/>
    <n v="5"/>
    <x v="1"/>
    <s v="JL-15505"/>
    <x v="145"/>
    <x v="0"/>
    <s v="United States"/>
    <s v="New York City"/>
    <s v="New York"/>
    <n v="10035"/>
    <x v="3"/>
    <s v="OFF-AR-10002399"/>
    <x v="1"/>
    <x v="6"/>
    <s v="Dixon Prang Watercolor Pencils, 10-Color Set with Brush"/>
    <n v="17.04"/>
  </r>
  <r>
    <n v="358"/>
    <s v="CA-2017-138520"/>
    <d v="2017-04-08T00:00:00"/>
    <x v="3"/>
    <x v="0"/>
    <d v="2017-04-13T00:00:00"/>
    <n v="5"/>
    <x v="1"/>
    <s v="JL-15505"/>
    <x v="145"/>
    <x v="0"/>
    <s v="United States"/>
    <s v="New York City"/>
    <s v="New York"/>
    <n v="10035"/>
    <x v="3"/>
    <s v="OFF-PA-10002713"/>
    <x v="1"/>
    <x v="10"/>
    <s v="Adams Phone Message Book, 200 Message Capacity, 8 1/16â€ x 11â€"/>
    <n v="34.4"/>
  </r>
  <r>
    <n v="359"/>
    <s v="CA-2017-130001"/>
    <d v="2017-04-23T00:00:00"/>
    <x v="3"/>
    <x v="0"/>
    <d v="2017-04-28T00:00:00"/>
    <n v="5"/>
    <x v="1"/>
    <s v="HK-14890"/>
    <x v="96"/>
    <x v="1"/>
    <s v="United States"/>
    <s v="Charlotte"/>
    <s v="North Carolina"/>
    <n v="28205"/>
    <x v="0"/>
    <s v="OFF-PA-10002666"/>
    <x v="1"/>
    <x v="10"/>
    <s v="Southworth 25% Cotton Linen-Finish Paper &amp; Envelopes"/>
    <n v="36.24"/>
  </r>
  <r>
    <n v="360"/>
    <s v="CA-2018-155698"/>
    <d v="2018-03-08T00:00:00"/>
    <x v="10"/>
    <x v="3"/>
    <d v="2018-03-11T00:00:00"/>
    <n v="3"/>
    <x v="2"/>
    <s v="VB-21745"/>
    <x v="146"/>
    <x v="1"/>
    <s v="United States"/>
    <s v="Columbus"/>
    <s v="Georgia"/>
    <n v="31907"/>
    <x v="0"/>
    <s v="OFF-AP-10001124"/>
    <x v="1"/>
    <x v="9"/>
    <s v="Belkin 8 Outlet SurgeMaster II Gold Surge Protector with Phone Protection"/>
    <n v="647.84"/>
  </r>
  <r>
    <n v="361"/>
    <s v="CA-2018-155698"/>
    <d v="2018-03-08T00:00:00"/>
    <x v="10"/>
    <x v="3"/>
    <d v="2018-03-11T00:00:00"/>
    <n v="3"/>
    <x v="2"/>
    <s v="VB-21745"/>
    <x v="146"/>
    <x v="1"/>
    <s v="United States"/>
    <s v="Columbus"/>
    <s v="Georgia"/>
    <n v="31907"/>
    <x v="0"/>
    <s v="OFF-LA-10001158"/>
    <x v="1"/>
    <x v="2"/>
    <s v="Avery Address/Shipping Labels for Typewriters, 4&quot; x 2&quot;"/>
    <n v="20.7"/>
  </r>
  <r>
    <n v="362"/>
    <s v="CA-2018-144904"/>
    <d v="2018-09-25T00:00:00"/>
    <x v="8"/>
    <x v="3"/>
    <d v="2018-10-01T00:00:00"/>
    <n v="6"/>
    <x v="1"/>
    <s v="KW-16435"/>
    <x v="147"/>
    <x v="0"/>
    <s v="United States"/>
    <s v="New York City"/>
    <s v="New York"/>
    <n v="10009"/>
    <x v="3"/>
    <s v="OFF-LA-10001158"/>
    <x v="1"/>
    <x v="2"/>
    <s v="Avery Address/Shipping Labels for Typewriters, 4&quot; x 2&quot;"/>
    <n v="20.7"/>
  </r>
  <r>
    <n v="363"/>
    <s v="CA-2018-144904"/>
    <d v="2018-09-25T00:00:00"/>
    <x v="8"/>
    <x v="3"/>
    <d v="2018-10-01T00:00:00"/>
    <n v="6"/>
    <x v="1"/>
    <s v="KW-16435"/>
    <x v="147"/>
    <x v="0"/>
    <s v="United States"/>
    <s v="New York City"/>
    <s v="New York"/>
    <n v="10009"/>
    <x v="3"/>
    <s v="FUR-CH-10000785"/>
    <x v="0"/>
    <x v="1"/>
    <s v="Global Ergonomic Managers Chair"/>
    <n v="488.64600000000002"/>
  </r>
  <r>
    <n v="364"/>
    <s v="CA-2018-144904"/>
    <d v="2018-09-25T00:00:00"/>
    <x v="8"/>
    <x v="3"/>
    <d v="2018-10-01T00:00:00"/>
    <n v="6"/>
    <x v="1"/>
    <s v="KW-16435"/>
    <x v="147"/>
    <x v="0"/>
    <s v="United States"/>
    <s v="New York City"/>
    <s v="New York"/>
    <n v="10009"/>
    <x v="3"/>
    <s v="OFF-AR-10003732"/>
    <x v="1"/>
    <x v="6"/>
    <s v="Newell 333"/>
    <n v="5.56"/>
  </r>
  <r>
    <n v="365"/>
    <s v="CA-2018-144904"/>
    <d v="2018-09-25T00:00:00"/>
    <x v="8"/>
    <x v="3"/>
    <d v="2018-10-01T00:00:00"/>
    <n v="6"/>
    <x v="1"/>
    <s v="KW-16435"/>
    <x v="147"/>
    <x v="0"/>
    <s v="United States"/>
    <s v="New York City"/>
    <s v="New York"/>
    <n v="10009"/>
    <x v="3"/>
    <s v="FUR-FU-10000023"/>
    <x v="0"/>
    <x v="5"/>
    <s v="Eldon Wave Desk Accessories"/>
    <n v="47.12"/>
  </r>
  <r>
    <n v="366"/>
    <s v="CA-2015-123344"/>
    <d v="2015-09-24T00:00:00"/>
    <x v="8"/>
    <x v="2"/>
    <d v="2015-09-29T00:00:00"/>
    <n v="5"/>
    <x v="1"/>
    <s v="JD-16060"/>
    <x v="148"/>
    <x v="0"/>
    <s v="United States"/>
    <s v="San Francisco"/>
    <s v="California"/>
    <n v="94109"/>
    <x v="1"/>
    <s v="OFF-ST-10001713"/>
    <x v="1"/>
    <x v="4"/>
    <s v="Gould Plastics 9-Pocket Panel Bin, 18-3/8w x 5-1/4d x 20-1/2h, Black"/>
    <n v="211.96"/>
  </r>
  <r>
    <n v="367"/>
    <s v="CA-2017-155516"/>
    <d v="2017-10-21T00:00:00"/>
    <x v="2"/>
    <x v="0"/>
    <d v="2017-10-21T00:00:00"/>
    <n v="0"/>
    <x v="3"/>
    <s v="MK-17905"/>
    <x v="149"/>
    <x v="1"/>
    <s v="United States"/>
    <s v="Manchester"/>
    <s v="Connecticut"/>
    <n v="6040"/>
    <x v="3"/>
    <s v="OFF-BI-10002412"/>
    <x v="1"/>
    <x v="8"/>
    <s v="Wilson Jones â€œSnapâ€ Scratch Pad Binder Tool for Ring Binders"/>
    <n v="23.2"/>
  </r>
  <r>
    <n v="368"/>
    <s v="CA-2017-155516"/>
    <d v="2017-10-21T00:00:00"/>
    <x v="2"/>
    <x v="0"/>
    <d v="2017-10-21T00:00:00"/>
    <n v="0"/>
    <x v="3"/>
    <s v="MK-17905"/>
    <x v="149"/>
    <x v="1"/>
    <s v="United States"/>
    <s v="Manchester"/>
    <s v="Connecticut"/>
    <n v="6040"/>
    <x v="3"/>
    <s v="OFF-SU-10001225"/>
    <x v="1"/>
    <x v="14"/>
    <s v="Staple remover"/>
    <n v="7.36"/>
  </r>
  <r>
    <n v="369"/>
    <s v="CA-2017-155516"/>
    <d v="2017-10-21T00:00:00"/>
    <x v="2"/>
    <x v="0"/>
    <d v="2017-10-21T00:00:00"/>
    <n v="0"/>
    <x v="3"/>
    <s v="MK-17905"/>
    <x v="149"/>
    <x v="1"/>
    <s v="United States"/>
    <s v="Manchester"/>
    <s v="Connecticut"/>
    <n v="6040"/>
    <x v="3"/>
    <s v="OFF-ST-10002406"/>
    <x v="1"/>
    <x v="4"/>
    <s v="Pizazz Global Quick File"/>
    <n v="104.79"/>
  </r>
  <r>
    <n v="370"/>
    <s v="CA-2017-155516"/>
    <d v="2017-10-21T00:00:00"/>
    <x v="2"/>
    <x v="0"/>
    <d v="2017-10-21T00:00:00"/>
    <n v="0"/>
    <x v="3"/>
    <s v="MK-17905"/>
    <x v="149"/>
    <x v="1"/>
    <s v="United States"/>
    <s v="Manchester"/>
    <s v="Connecticut"/>
    <n v="6040"/>
    <x v="3"/>
    <s v="FUR-BO-10002545"/>
    <x v="0"/>
    <x v="0"/>
    <s v="Atlantic Metals Mobile 3-Shelf Bookcases, Custom Colors"/>
    <n v="1043.92"/>
  </r>
  <r>
    <n v="371"/>
    <s v="CA-2018-104745"/>
    <d v="2018-05-29T00:00:00"/>
    <x v="5"/>
    <x v="3"/>
    <d v="2018-06-04T00:00:00"/>
    <n v="6"/>
    <x v="1"/>
    <s v="GT-14755"/>
    <x v="150"/>
    <x v="0"/>
    <s v="United States"/>
    <s v="Harlingen"/>
    <s v="Texas"/>
    <n v="78550"/>
    <x v="2"/>
    <s v="OFF-PA-10002036"/>
    <x v="1"/>
    <x v="10"/>
    <s v="Xerox 1930"/>
    <n v="25.92"/>
  </r>
  <r>
    <n v="372"/>
    <s v="CA-2018-104745"/>
    <d v="2018-05-29T00:00:00"/>
    <x v="5"/>
    <x v="3"/>
    <d v="2018-06-04T00:00:00"/>
    <n v="6"/>
    <x v="1"/>
    <s v="GT-14755"/>
    <x v="150"/>
    <x v="0"/>
    <s v="United States"/>
    <s v="Harlingen"/>
    <s v="Texas"/>
    <n v="78550"/>
    <x v="2"/>
    <s v="OFF-ST-10002205"/>
    <x v="1"/>
    <x v="4"/>
    <s v="File Shuttle I and Handi-File"/>
    <n v="53.423999999999999"/>
  </r>
  <r>
    <n v="373"/>
    <s v="US-2015-119137"/>
    <d v="2015-07-23T00:00:00"/>
    <x v="7"/>
    <x v="2"/>
    <d v="2015-07-27T00:00:00"/>
    <n v="4"/>
    <x v="1"/>
    <s v="AG-10900"/>
    <x v="151"/>
    <x v="0"/>
    <s v="United States"/>
    <s v="Tucson"/>
    <s v="Arizona"/>
    <n v="85705"/>
    <x v="1"/>
    <s v="OFF-BI-10001982"/>
    <x v="1"/>
    <x v="8"/>
    <s v="Wilson Jones Custom Binder Spines &amp; Labels"/>
    <n v="8.16"/>
  </r>
  <r>
    <n v="374"/>
    <s v="US-2015-119137"/>
    <d v="2015-07-23T00:00:00"/>
    <x v="7"/>
    <x v="2"/>
    <d v="2015-07-27T00:00:00"/>
    <n v="4"/>
    <x v="1"/>
    <s v="AG-10900"/>
    <x v="151"/>
    <x v="0"/>
    <s v="United States"/>
    <s v="Tucson"/>
    <s v="Arizona"/>
    <n v="85705"/>
    <x v="1"/>
    <s v="TEC-AC-10003911"/>
    <x v="2"/>
    <x v="11"/>
    <s v="NETGEAR AC1750 Dual Band GigabitÂ Smart WiFi Router"/>
    <n v="1023.936"/>
  </r>
  <r>
    <n v="375"/>
    <s v="US-2015-119137"/>
    <d v="2015-07-23T00:00:00"/>
    <x v="7"/>
    <x v="2"/>
    <d v="2015-07-27T00:00:00"/>
    <n v="4"/>
    <x v="1"/>
    <s v="AG-10900"/>
    <x v="151"/>
    <x v="0"/>
    <s v="United States"/>
    <s v="Tucson"/>
    <s v="Arizona"/>
    <n v="85705"/>
    <x v="1"/>
    <s v="OFF-AR-10000658"/>
    <x v="1"/>
    <x v="6"/>
    <s v="Newell 324"/>
    <n v="9.24"/>
  </r>
  <r>
    <n v="376"/>
    <s v="US-2015-119137"/>
    <d v="2015-07-23T00:00:00"/>
    <x v="7"/>
    <x v="2"/>
    <d v="2015-07-27T00:00:00"/>
    <n v="4"/>
    <x v="1"/>
    <s v="AG-10900"/>
    <x v="151"/>
    <x v="0"/>
    <s v="United States"/>
    <s v="Tucson"/>
    <s v="Arizona"/>
    <n v="85705"/>
    <x v="1"/>
    <s v="TEC-AC-10002076"/>
    <x v="2"/>
    <x v="11"/>
    <s v="Microsoft Natural Keyboard Elite"/>
    <n v="479.04"/>
  </r>
  <r>
    <n v="377"/>
    <s v="US-2017-134656"/>
    <d v="2017-09-28T00:00:00"/>
    <x v="8"/>
    <x v="0"/>
    <d v="2017-10-01T00:00:00"/>
    <n v="3"/>
    <x v="2"/>
    <s v="MM-18280"/>
    <x v="152"/>
    <x v="1"/>
    <s v="United States"/>
    <s v="Quincy"/>
    <s v="Illinois"/>
    <n v="62301"/>
    <x v="2"/>
    <s v="OFF-PA-10003039"/>
    <x v="1"/>
    <x v="10"/>
    <s v="Xerox 1960"/>
    <n v="99.135999999999996"/>
  </r>
  <r>
    <n v="378"/>
    <s v="US-2018-134481"/>
    <d v="2018-08-27T00:00:00"/>
    <x v="6"/>
    <x v="3"/>
    <d v="2018-09-01T00:00:00"/>
    <n v="5"/>
    <x v="1"/>
    <s v="AR-10405"/>
    <x v="153"/>
    <x v="1"/>
    <s v="United States"/>
    <s v="Franklin"/>
    <s v="Massachusetts"/>
    <n v="2038"/>
    <x v="3"/>
    <s v="FUR-TA-10004915"/>
    <x v="0"/>
    <x v="3"/>
    <s v="Office Impressions End Table, 20-1/2&quot;H x 24&quot;W x 20&quot;D"/>
    <n v="1488.424"/>
  </r>
  <r>
    <n v="379"/>
    <s v="CA-2016-130792"/>
    <d v="2016-04-28T00:00:00"/>
    <x v="3"/>
    <x v="1"/>
    <d v="2016-05-05T00:00:00"/>
    <n v="7"/>
    <x v="1"/>
    <s v="RA-19915"/>
    <x v="154"/>
    <x v="0"/>
    <s v="United States"/>
    <s v="Houston"/>
    <s v="Texas"/>
    <n v="77095"/>
    <x v="2"/>
    <s v="OFF-AP-10000696"/>
    <x v="1"/>
    <x v="9"/>
    <s v="Holmes Odor Grabber"/>
    <n v="8.6519999999999992"/>
  </r>
  <r>
    <n v="380"/>
    <s v="CA-2016-130792"/>
    <d v="2016-04-28T00:00:00"/>
    <x v="3"/>
    <x v="1"/>
    <d v="2016-05-05T00:00:00"/>
    <n v="7"/>
    <x v="1"/>
    <s v="RA-19915"/>
    <x v="154"/>
    <x v="0"/>
    <s v="United States"/>
    <s v="Houston"/>
    <s v="Texas"/>
    <n v="77095"/>
    <x v="2"/>
    <s v="OFF-ST-10003327"/>
    <x v="1"/>
    <x v="4"/>
    <s v="Akro-Mils 12-Gallon Tote"/>
    <n v="23.832000000000001"/>
  </r>
  <r>
    <n v="381"/>
    <s v="CA-2016-130792"/>
    <d v="2016-04-28T00:00:00"/>
    <x v="3"/>
    <x v="1"/>
    <d v="2016-05-05T00:00:00"/>
    <n v="7"/>
    <x v="1"/>
    <s v="RA-19915"/>
    <x v="154"/>
    <x v="0"/>
    <s v="United States"/>
    <s v="Houston"/>
    <s v="Texas"/>
    <n v="77095"/>
    <x v="2"/>
    <s v="OFF-BI-10000309"/>
    <x v="1"/>
    <x v="8"/>
    <s v="GBC Twin Loop Wire Binding Elements, 9/16&quot; Spine, Black"/>
    <n v="12.176"/>
  </r>
  <r>
    <n v="382"/>
    <s v="CA-2017-134775"/>
    <d v="2017-10-28T00:00:00"/>
    <x v="2"/>
    <x v="0"/>
    <d v="2017-10-29T00:00:00"/>
    <n v="1"/>
    <x v="2"/>
    <s v="AS-10285"/>
    <x v="155"/>
    <x v="1"/>
    <s v="United States"/>
    <s v="San Francisco"/>
    <s v="California"/>
    <n v="94109"/>
    <x v="1"/>
    <s v="OFF-PA-10004734"/>
    <x v="1"/>
    <x v="10"/>
    <s v="Southworth Structures Collection"/>
    <n v="50.96"/>
  </r>
  <r>
    <n v="383"/>
    <s v="CA-2017-134775"/>
    <d v="2017-10-28T00:00:00"/>
    <x v="2"/>
    <x v="0"/>
    <d v="2017-10-29T00:00:00"/>
    <n v="1"/>
    <x v="2"/>
    <s v="AS-10285"/>
    <x v="155"/>
    <x v="1"/>
    <s v="United States"/>
    <s v="San Francisco"/>
    <s v="California"/>
    <n v="94109"/>
    <x v="1"/>
    <s v="OFF-BI-10002225"/>
    <x v="1"/>
    <x v="8"/>
    <s v="Square Ring Data Binders, Rigid 75 Pt. Covers, 11&quot; x 14-7/8&quot;"/>
    <n v="49.536000000000001"/>
  </r>
  <r>
    <n v="384"/>
    <s v="CA-2016-125395"/>
    <d v="2016-06-26T00:00:00"/>
    <x v="1"/>
    <x v="1"/>
    <d v="2016-06-29T00:00:00"/>
    <n v="3"/>
    <x v="0"/>
    <s v="LA-16780"/>
    <x v="156"/>
    <x v="1"/>
    <s v="United States"/>
    <s v="Taylor"/>
    <s v="Michigan"/>
    <n v="48180"/>
    <x v="2"/>
    <s v="TEC-AC-10004708"/>
    <x v="2"/>
    <x v="11"/>
    <s v="Sony 32GB Class 10 Micro SDHC R40 Memory Card"/>
    <n v="41.9"/>
  </r>
  <r>
    <n v="385"/>
    <s v="US-2016-168935"/>
    <d v="2016-11-27T00:00:00"/>
    <x v="0"/>
    <x v="1"/>
    <d v="2016-12-02T00:00:00"/>
    <n v="5"/>
    <x v="1"/>
    <s v="DO-13435"/>
    <x v="157"/>
    <x v="0"/>
    <s v="United States"/>
    <s v="Pembroke Pines"/>
    <s v="Florida"/>
    <n v="33024"/>
    <x v="0"/>
    <s v="FUR-TA-10000617"/>
    <x v="0"/>
    <x v="3"/>
    <s v="Hon Practical Foundations 30 x 60 Training Table, Light Gray/Charcoal"/>
    <n v="375.45749999999998"/>
  </r>
  <r>
    <n v="386"/>
    <s v="US-2016-168935"/>
    <d v="2016-11-27T00:00:00"/>
    <x v="0"/>
    <x v="1"/>
    <d v="2016-12-02T00:00:00"/>
    <n v="5"/>
    <x v="1"/>
    <s v="DO-13435"/>
    <x v="157"/>
    <x v="0"/>
    <s v="United States"/>
    <s v="Pembroke Pines"/>
    <s v="Florida"/>
    <n v="33024"/>
    <x v="0"/>
    <s v="TEC-AC-10002335"/>
    <x v="2"/>
    <x v="11"/>
    <s v="Logitech Media Keyboard K200"/>
    <n v="83.975999999999999"/>
  </r>
  <r>
    <n v="387"/>
    <s v="CA-2016-122756"/>
    <d v="2016-12-03T00:00:00"/>
    <x v="4"/>
    <x v="1"/>
    <d v="2016-12-07T00:00:00"/>
    <n v="4"/>
    <x v="1"/>
    <s v="DK-13225"/>
    <x v="158"/>
    <x v="1"/>
    <s v="United States"/>
    <s v="Philadelphia"/>
    <s v="Pennsylvania"/>
    <n v="19140"/>
    <x v="3"/>
    <s v="TEC-MA-10001681"/>
    <x v="2"/>
    <x v="15"/>
    <s v="Lexmark MarkNet N8150 Wireless Print Server"/>
    <n v="482.34"/>
  </r>
  <r>
    <n v="388"/>
    <s v="CA-2016-122756"/>
    <d v="2016-12-03T00:00:00"/>
    <x v="4"/>
    <x v="1"/>
    <d v="2016-12-07T00:00:00"/>
    <n v="4"/>
    <x v="1"/>
    <s v="DK-13225"/>
    <x v="158"/>
    <x v="1"/>
    <s v="United States"/>
    <s v="Philadelphia"/>
    <s v="Pennsylvania"/>
    <n v="19140"/>
    <x v="3"/>
    <s v="FUR-FU-10001935"/>
    <x v="0"/>
    <x v="5"/>
    <s v="3M Hangers With Command Adhesive"/>
    <n v="2.96"/>
  </r>
  <r>
    <n v="389"/>
    <s v="CA-2015-115973"/>
    <d v="2015-11-24T00:00:00"/>
    <x v="0"/>
    <x v="2"/>
    <d v="2015-11-26T00:00:00"/>
    <n v="2"/>
    <x v="2"/>
    <s v="NG-18430"/>
    <x v="159"/>
    <x v="0"/>
    <s v="United States"/>
    <s v="Cincinnati"/>
    <s v="Ohio"/>
    <n v="45231"/>
    <x v="3"/>
    <s v="OFF-AR-10004757"/>
    <x v="1"/>
    <x v="6"/>
    <s v="Crayola Colored Pencils"/>
    <n v="2.6240000000000001"/>
  </r>
  <r>
    <n v="390"/>
    <s v="CA-2018-101798"/>
    <d v="2018-12-11T00:00:00"/>
    <x v="4"/>
    <x v="3"/>
    <d v="2018-12-15T00:00:00"/>
    <n v="4"/>
    <x v="1"/>
    <s v="MV-18190"/>
    <x v="160"/>
    <x v="0"/>
    <s v="United States"/>
    <s v="New York City"/>
    <s v="New York"/>
    <n v="10009"/>
    <x v="3"/>
    <s v="OFF-BI-10000050"/>
    <x v="1"/>
    <x v="8"/>
    <s v="Angle-D Binders with Locking Rings, Label Holders"/>
    <n v="23.36"/>
  </r>
  <r>
    <n v="391"/>
    <s v="CA-2018-101798"/>
    <d v="2018-12-11T00:00:00"/>
    <x v="4"/>
    <x v="3"/>
    <d v="2018-12-15T00:00:00"/>
    <n v="4"/>
    <x v="1"/>
    <s v="MV-18190"/>
    <x v="160"/>
    <x v="0"/>
    <s v="United States"/>
    <s v="New York City"/>
    <s v="New York"/>
    <n v="10009"/>
    <x v="3"/>
    <s v="TEC-AC-10001998"/>
    <x v="2"/>
    <x v="11"/>
    <s v="LogitechÂ LS21 Speaker System - PC Multimedia - 2.1-CH - Wired"/>
    <n v="39.979999999999997"/>
  </r>
  <r>
    <n v="392"/>
    <s v="US-2015-135972"/>
    <d v="2015-09-21T00:00:00"/>
    <x v="8"/>
    <x v="2"/>
    <d v="2015-09-23T00:00:00"/>
    <n v="2"/>
    <x v="0"/>
    <s v="JG-15115"/>
    <x v="161"/>
    <x v="0"/>
    <s v="United States"/>
    <s v="Des Moines"/>
    <s v="Washington"/>
    <n v="98198"/>
    <x v="1"/>
    <s v="TEC-PH-10003012"/>
    <x v="2"/>
    <x v="7"/>
    <s v="Nortel Meridian M3904 Professional Digital phone"/>
    <n v="246.38399999999999"/>
  </r>
  <r>
    <n v="393"/>
    <s v="US-2015-135972"/>
    <d v="2015-09-21T00:00:00"/>
    <x v="8"/>
    <x v="2"/>
    <d v="2015-09-23T00:00:00"/>
    <n v="2"/>
    <x v="0"/>
    <s v="JG-15115"/>
    <x v="161"/>
    <x v="0"/>
    <s v="United States"/>
    <s v="Des Moines"/>
    <s v="Washington"/>
    <n v="98198"/>
    <x v="1"/>
    <s v="TEC-CO-10002313"/>
    <x v="2"/>
    <x v="16"/>
    <s v="Canon PC1080F Personal Copier"/>
    <n v="1799.97"/>
  </r>
  <r>
    <n v="394"/>
    <s v="US-2015-134971"/>
    <d v="2015-06-07T00:00:00"/>
    <x v="1"/>
    <x v="2"/>
    <d v="2015-06-10T00:00:00"/>
    <n v="3"/>
    <x v="0"/>
    <s v="BP-11095"/>
    <x v="162"/>
    <x v="1"/>
    <s v="United States"/>
    <s v="Peoria"/>
    <s v="Illinois"/>
    <n v="61604"/>
    <x v="2"/>
    <s v="OFF-BI-10003982"/>
    <x v="1"/>
    <x v="8"/>
    <s v="Wilson Jones Century Plastic Molded Ring Binders"/>
    <n v="12.462"/>
  </r>
  <r>
    <n v="395"/>
    <s v="CA-2018-102946"/>
    <d v="2018-06-30T00:00:00"/>
    <x v="1"/>
    <x v="3"/>
    <d v="2018-07-05T00:00:00"/>
    <n v="5"/>
    <x v="1"/>
    <s v="VP-21730"/>
    <x v="163"/>
    <x v="2"/>
    <s v="United States"/>
    <s v="Las Vegas"/>
    <s v="Nevada"/>
    <n v="89115"/>
    <x v="1"/>
    <s v="OFF-BI-10004492"/>
    <x v="1"/>
    <x v="8"/>
    <s v="Tuf-Vin Binders"/>
    <n v="75.792000000000002"/>
  </r>
  <r>
    <n v="396"/>
    <s v="CA-2018-165603"/>
    <d v="2018-10-17T00:00:00"/>
    <x v="2"/>
    <x v="3"/>
    <d v="2018-10-19T00:00:00"/>
    <n v="2"/>
    <x v="0"/>
    <s v="SS-20140"/>
    <x v="164"/>
    <x v="1"/>
    <s v="United States"/>
    <s v="Warwick"/>
    <s v="Rhode Island"/>
    <n v="2886"/>
    <x v="3"/>
    <s v="OFF-ST-10000798"/>
    <x v="1"/>
    <x v="4"/>
    <s v="2300 Heavy-Duty Transfer File Systems by Perma"/>
    <n v="49.96"/>
  </r>
  <r>
    <n v="397"/>
    <s v="CA-2018-165603"/>
    <d v="2018-10-17T00:00:00"/>
    <x v="2"/>
    <x v="3"/>
    <d v="2018-10-19T00:00:00"/>
    <n v="2"/>
    <x v="0"/>
    <s v="SS-20140"/>
    <x v="164"/>
    <x v="1"/>
    <s v="United States"/>
    <s v="Warwick"/>
    <s v="Rhode Island"/>
    <n v="2886"/>
    <x v="3"/>
    <s v="OFF-PA-10002552"/>
    <x v="1"/>
    <x v="10"/>
    <s v="Xerox 1958"/>
    <n v="12.96"/>
  </r>
  <r>
    <n v="398"/>
    <s v="CA-2016-122259"/>
    <d v="2016-10-31T00:00:00"/>
    <x v="2"/>
    <x v="1"/>
    <d v="2016-11-04T00:00:00"/>
    <n v="4"/>
    <x v="1"/>
    <s v="HP-14815"/>
    <x v="6"/>
    <x v="2"/>
    <s v="United States"/>
    <s v="Jackson"/>
    <s v="Michigan"/>
    <n v="49201"/>
    <x v="2"/>
    <s v="OFF-SU-10002573"/>
    <x v="1"/>
    <x v="14"/>
    <s v="Acme 10&quot; Easy Grip Assistive Scissors"/>
    <n v="70.12"/>
  </r>
  <r>
    <n v="399"/>
    <s v="CA-2017-108987"/>
    <d v="2017-09-08T00:00:00"/>
    <x v="8"/>
    <x v="0"/>
    <d v="2017-09-10T00:00:00"/>
    <n v="2"/>
    <x v="0"/>
    <s v="AG-10675"/>
    <x v="165"/>
    <x v="0"/>
    <s v="United States"/>
    <s v="Houston"/>
    <s v="Texas"/>
    <n v="77036"/>
    <x v="2"/>
    <s v="OFF-ST-10001580"/>
    <x v="1"/>
    <x v="4"/>
    <s v="Super Decoflex Portable Personal File"/>
    <n v="35.951999999999998"/>
  </r>
  <r>
    <n v="400"/>
    <s v="CA-2017-108987"/>
    <d v="2017-09-08T00:00:00"/>
    <x v="8"/>
    <x v="0"/>
    <d v="2017-09-10T00:00:00"/>
    <n v="2"/>
    <x v="0"/>
    <s v="AG-10675"/>
    <x v="165"/>
    <x v="0"/>
    <s v="United States"/>
    <s v="Houston"/>
    <s v="Texas"/>
    <n v="77036"/>
    <x v="2"/>
    <s v="FUR-BO-10004834"/>
    <x v="0"/>
    <x v="0"/>
    <s v="Riverside Palais Royal Lawyers Bookcase, Royale Cherry Finish"/>
    <n v="2396.2656000000002"/>
  </r>
  <r>
    <n v="401"/>
    <s v="CA-2017-108987"/>
    <d v="2017-09-08T00:00:00"/>
    <x v="8"/>
    <x v="0"/>
    <d v="2017-09-10T00:00:00"/>
    <n v="2"/>
    <x v="0"/>
    <s v="AG-10675"/>
    <x v="165"/>
    <x v="0"/>
    <s v="United States"/>
    <s v="Houston"/>
    <s v="Texas"/>
    <n v="77036"/>
    <x v="2"/>
    <s v="OFF-ST-10000934"/>
    <x v="1"/>
    <x v="4"/>
    <s v="Contico 72&quot;H Heavy-Duty Storage System"/>
    <n v="131.136"/>
  </r>
  <r>
    <n v="402"/>
    <s v="CA-2017-108987"/>
    <d v="2017-09-08T00:00:00"/>
    <x v="8"/>
    <x v="0"/>
    <d v="2017-09-10T00:00:00"/>
    <n v="2"/>
    <x v="0"/>
    <s v="AG-10675"/>
    <x v="165"/>
    <x v="0"/>
    <s v="United States"/>
    <s v="Houston"/>
    <s v="Texas"/>
    <n v="77036"/>
    <x v="2"/>
    <s v="TEC-AC-10000158"/>
    <x v="2"/>
    <x v="11"/>
    <s v="Sony 64GB Class 10 Micro SDHC R40 Memory Card"/>
    <n v="57.584000000000003"/>
  </r>
  <r>
    <n v="403"/>
    <s v="CA-2015-113166"/>
    <d v="2015-12-24T00:00:00"/>
    <x v="4"/>
    <x v="2"/>
    <d v="2015-12-26T00:00:00"/>
    <n v="2"/>
    <x v="2"/>
    <s v="LF-17185"/>
    <x v="166"/>
    <x v="0"/>
    <s v="United States"/>
    <s v="Miami"/>
    <s v="Florida"/>
    <n v="33180"/>
    <x v="0"/>
    <s v="OFF-PA-10001947"/>
    <x v="1"/>
    <x v="10"/>
    <s v="Xerox 1974"/>
    <n v="9.5679999999999996"/>
  </r>
  <r>
    <n v="404"/>
    <s v="CA-2015-155208"/>
    <d v="2015-04-16T00:00:00"/>
    <x v="3"/>
    <x v="2"/>
    <d v="2015-04-20T00:00:00"/>
    <n v="4"/>
    <x v="1"/>
    <s v="SP-20650"/>
    <x v="70"/>
    <x v="1"/>
    <s v="United States"/>
    <s v="Wilmington"/>
    <s v="North Carolina"/>
    <n v="28403"/>
    <x v="0"/>
    <s v="OFF-AR-10003478"/>
    <x v="1"/>
    <x v="6"/>
    <s v="Avery Hi-Liter EverBold Pen Style Fluorescent Highlighters, 4/Pack"/>
    <n v="39.072000000000003"/>
  </r>
  <r>
    <n v="405"/>
    <s v="CA-2018-117933"/>
    <d v="2018-12-24T00:00:00"/>
    <x v="4"/>
    <x v="3"/>
    <d v="2018-12-29T00:00:00"/>
    <n v="5"/>
    <x v="1"/>
    <s v="RF-19840"/>
    <x v="167"/>
    <x v="0"/>
    <s v="United States"/>
    <s v="New York City"/>
    <s v="New York"/>
    <n v="10024"/>
    <x v="3"/>
    <s v="OFF-AP-10004249"/>
    <x v="1"/>
    <x v="9"/>
    <s v="Staple holder"/>
    <n v="35.909999999999997"/>
  </r>
  <r>
    <n v="406"/>
    <s v="CA-2018-117457"/>
    <d v="2018-12-08T00:00:00"/>
    <x v="4"/>
    <x v="3"/>
    <d v="2018-12-12T00:00:00"/>
    <n v="4"/>
    <x v="1"/>
    <s v="KH-16510"/>
    <x v="168"/>
    <x v="0"/>
    <s v="United States"/>
    <s v="San Francisco"/>
    <s v="California"/>
    <n v="94110"/>
    <x v="1"/>
    <s v="TEC-AC-10000158"/>
    <x v="2"/>
    <x v="11"/>
    <s v="Sony 64GB Class 10 Micro SDHC R40 Memory Card"/>
    <n v="179.95"/>
  </r>
  <r>
    <n v="407"/>
    <s v="CA-2018-117457"/>
    <d v="2018-12-08T00:00:00"/>
    <x v="4"/>
    <x v="3"/>
    <d v="2018-12-12T00:00:00"/>
    <n v="4"/>
    <x v="1"/>
    <s v="KH-16510"/>
    <x v="168"/>
    <x v="0"/>
    <s v="United States"/>
    <s v="San Francisco"/>
    <s v="California"/>
    <n v="94110"/>
    <x v="1"/>
    <s v="TEC-CO-10004115"/>
    <x v="2"/>
    <x v="16"/>
    <s v="Sharp AL-1530CS Digital Copier"/>
    <n v="1199.9760000000001"/>
  </r>
  <r>
    <n v="408"/>
    <s v="CA-2018-117457"/>
    <d v="2018-12-08T00:00:00"/>
    <x v="4"/>
    <x v="3"/>
    <d v="2018-12-12T00:00:00"/>
    <n v="4"/>
    <x v="1"/>
    <s v="KH-16510"/>
    <x v="168"/>
    <x v="0"/>
    <s v="United States"/>
    <s v="San Francisco"/>
    <s v="California"/>
    <n v="94110"/>
    <x v="1"/>
    <s v="OFF-PA-10003724"/>
    <x v="1"/>
    <x v="10"/>
    <s v="Wirebound Message Book, 4 per Page"/>
    <n v="27.15"/>
  </r>
  <r>
    <n v="409"/>
    <s v="CA-2018-117457"/>
    <d v="2018-12-08T00:00:00"/>
    <x v="4"/>
    <x v="3"/>
    <d v="2018-12-12T00:00:00"/>
    <n v="4"/>
    <x v="1"/>
    <s v="KH-16510"/>
    <x v="168"/>
    <x v="0"/>
    <s v="United States"/>
    <s v="San Francisco"/>
    <s v="California"/>
    <n v="94110"/>
    <x v="1"/>
    <s v="FUR-TA-10002041"/>
    <x v="0"/>
    <x v="3"/>
    <s v="Bevis Round Conference Table Top, X-Base"/>
    <n v="1004.024"/>
  </r>
  <r>
    <n v="410"/>
    <s v="CA-2018-117457"/>
    <d v="2018-12-08T00:00:00"/>
    <x v="4"/>
    <x v="3"/>
    <d v="2018-12-12T00:00:00"/>
    <n v="4"/>
    <x v="1"/>
    <s v="KH-16510"/>
    <x v="168"/>
    <x v="0"/>
    <s v="United States"/>
    <s v="San Francisco"/>
    <s v="California"/>
    <n v="94110"/>
    <x v="1"/>
    <s v="OFF-PA-10002893"/>
    <x v="1"/>
    <x v="10"/>
    <s v="Wirebound Service Call Books, 5 1/2&quot; x 4&quot;"/>
    <n v="9.68"/>
  </r>
  <r>
    <n v="411"/>
    <s v="CA-2018-117457"/>
    <d v="2018-12-08T00:00:00"/>
    <x v="4"/>
    <x v="3"/>
    <d v="2018-12-12T00:00:00"/>
    <n v="4"/>
    <x v="1"/>
    <s v="KH-16510"/>
    <x v="168"/>
    <x v="0"/>
    <s v="United States"/>
    <s v="San Francisco"/>
    <s v="California"/>
    <n v="94110"/>
    <x v="1"/>
    <s v="OFF-LA-10003766"/>
    <x v="1"/>
    <x v="2"/>
    <s v="Self-Adhesive Removable Labels"/>
    <n v="28.35"/>
  </r>
  <r>
    <n v="412"/>
    <s v="CA-2018-117457"/>
    <d v="2018-12-08T00:00:00"/>
    <x v="4"/>
    <x v="3"/>
    <d v="2018-12-12T00:00:00"/>
    <n v="4"/>
    <x v="1"/>
    <s v="KH-16510"/>
    <x v="168"/>
    <x v="0"/>
    <s v="United States"/>
    <s v="San Francisco"/>
    <s v="California"/>
    <n v="94110"/>
    <x v="1"/>
    <s v="OFF-PA-10001970"/>
    <x v="1"/>
    <x v="10"/>
    <s v="Xerox 1908"/>
    <n v="55.98"/>
  </r>
  <r>
    <n v="413"/>
    <s v="CA-2018-117457"/>
    <d v="2018-12-08T00:00:00"/>
    <x v="4"/>
    <x v="3"/>
    <d v="2018-12-12T00:00:00"/>
    <n v="4"/>
    <x v="1"/>
    <s v="KH-16510"/>
    <x v="168"/>
    <x v="0"/>
    <s v="United States"/>
    <s v="San Francisco"/>
    <s v="California"/>
    <n v="94110"/>
    <x v="1"/>
    <s v="FUR-BO-10001972"/>
    <x v="0"/>
    <x v="0"/>
    <s v="O'Sullivan 4-Shelf Bookcase in Odessa Pine"/>
    <n v="1336.829"/>
  </r>
  <r>
    <n v="414"/>
    <s v="CA-2018-117457"/>
    <d v="2018-12-08T00:00:00"/>
    <x v="4"/>
    <x v="3"/>
    <d v="2018-12-12T00:00:00"/>
    <n v="4"/>
    <x v="1"/>
    <s v="KH-16510"/>
    <x v="168"/>
    <x v="0"/>
    <s v="United States"/>
    <s v="San Francisco"/>
    <s v="California"/>
    <n v="94110"/>
    <x v="1"/>
    <s v="FUR-CH-10003956"/>
    <x v="0"/>
    <x v="1"/>
    <s v="Novimex High-Tech Fabric Mesh Task Chair"/>
    <n v="113.568"/>
  </r>
  <r>
    <n v="415"/>
    <s v="CA-2018-142636"/>
    <d v="2018-11-03T00:00:00"/>
    <x v="0"/>
    <x v="3"/>
    <d v="2018-11-07T00:00:00"/>
    <n v="4"/>
    <x v="1"/>
    <s v="KC-16675"/>
    <x v="169"/>
    <x v="1"/>
    <s v="United States"/>
    <s v="Seattle"/>
    <s v="Washington"/>
    <n v="98105"/>
    <x v="1"/>
    <s v="OFF-PA-10000157"/>
    <x v="1"/>
    <x v="10"/>
    <s v="Xerox 191"/>
    <n v="139.86000000000001"/>
  </r>
  <r>
    <n v="416"/>
    <s v="CA-2018-142636"/>
    <d v="2018-11-03T00:00:00"/>
    <x v="0"/>
    <x v="3"/>
    <d v="2018-11-07T00:00:00"/>
    <n v="4"/>
    <x v="1"/>
    <s v="KC-16675"/>
    <x v="169"/>
    <x v="1"/>
    <s v="United States"/>
    <s v="Seattle"/>
    <s v="Washington"/>
    <n v="98105"/>
    <x v="1"/>
    <s v="FUR-CH-10001891"/>
    <x v="0"/>
    <x v="1"/>
    <s v="Global Deluxe Office Fabric Chairs"/>
    <n v="307.13600000000002"/>
  </r>
  <r>
    <n v="417"/>
    <s v="CA-2018-122105"/>
    <d v="2018-06-24T00:00:00"/>
    <x v="1"/>
    <x v="3"/>
    <d v="2018-06-28T00:00:00"/>
    <n v="4"/>
    <x v="1"/>
    <s v="CJ-12010"/>
    <x v="170"/>
    <x v="0"/>
    <s v="United States"/>
    <s v="Huntington Beach"/>
    <s v="California"/>
    <n v="92646"/>
    <x v="1"/>
    <s v="OFF-AR-10004344"/>
    <x v="1"/>
    <x v="6"/>
    <s v="Bulldog Vacuum Base Pencil Sharpener"/>
    <n v="95.92"/>
  </r>
  <r>
    <n v="418"/>
    <s v="CA-2017-148796"/>
    <d v="2017-04-14T00:00:00"/>
    <x v="3"/>
    <x v="0"/>
    <d v="2017-04-18T00:00:00"/>
    <n v="4"/>
    <x v="1"/>
    <s v="PB-19150"/>
    <x v="171"/>
    <x v="0"/>
    <s v="United States"/>
    <s v="Los Angeles"/>
    <s v="California"/>
    <n v="90004"/>
    <x v="1"/>
    <s v="FUR-CH-10004886"/>
    <x v="0"/>
    <x v="1"/>
    <s v="Bevis Steel Folding Chairs"/>
    <n v="383.8"/>
  </r>
  <r>
    <n v="419"/>
    <s v="CA-2018-154816"/>
    <d v="2018-11-06T00:00:00"/>
    <x v="0"/>
    <x v="3"/>
    <d v="2018-11-10T00:00:00"/>
    <n v="4"/>
    <x v="1"/>
    <s v="VB-21745"/>
    <x v="146"/>
    <x v="1"/>
    <s v="United States"/>
    <s v="Richmond"/>
    <s v="Kentucky"/>
    <n v="40475"/>
    <x v="0"/>
    <s v="OFF-PA-10003845"/>
    <x v="1"/>
    <x v="10"/>
    <s v="Xerox 1987"/>
    <n v="5.78"/>
  </r>
  <r>
    <n v="420"/>
    <s v="CA-2018-110478"/>
    <d v="2018-03-04T00:00:00"/>
    <x v="10"/>
    <x v="3"/>
    <d v="2018-03-09T00:00:00"/>
    <n v="5"/>
    <x v="1"/>
    <s v="SP-20860"/>
    <x v="133"/>
    <x v="1"/>
    <s v="United States"/>
    <s v="Los Angeles"/>
    <s v="California"/>
    <n v="90045"/>
    <x v="1"/>
    <s v="OFF-AR-10001573"/>
    <x v="1"/>
    <x v="6"/>
    <s v="American Pencil"/>
    <n v="9.32"/>
  </r>
  <r>
    <n v="421"/>
    <s v="CA-2018-110478"/>
    <d v="2018-03-04T00:00:00"/>
    <x v="10"/>
    <x v="3"/>
    <d v="2018-03-09T00:00:00"/>
    <n v="5"/>
    <x v="1"/>
    <s v="SP-20860"/>
    <x v="133"/>
    <x v="1"/>
    <s v="United States"/>
    <s v="Los Angeles"/>
    <s v="California"/>
    <n v="90045"/>
    <x v="1"/>
    <s v="OFF-EN-10000483"/>
    <x v="1"/>
    <x v="12"/>
    <s v="White Envelopes, White Envelopes with Clear Poly Window"/>
    <n v="15.25"/>
  </r>
  <r>
    <n v="422"/>
    <s v="CA-2015-142048"/>
    <d v="2015-06-22T00:00:00"/>
    <x v="1"/>
    <x v="2"/>
    <d v="2015-06-25T00:00:00"/>
    <n v="3"/>
    <x v="2"/>
    <s v="JE-15745"/>
    <x v="32"/>
    <x v="0"/>
    <s v="United States"/>
    <s v="Louisville"/>
    <s v="Colorado"/>
    <n v="80027"/>
    <x v="1"/>
    <s v="TEC-AC-10004114"/>
    <x v="2"/>
    <x v="11"/>
    <s v="KeyTronicÂ 6101 Series -Â KeyboardÂ - Black"/>
    <n v="196.75200000000001"/>
  </r>
  <r>
    <n v="423"/>
    <s v="CA-2018-125388"/>
    <d v="2018-10-19T00:00:00"/>
    <x v="2"/>
    <x v="3"/>
    <d v="2018-10-23T00:00:00"/>
    <n v="4"/>
    <x v="1"/>
    <s v="MP-17965"/>
    <x v="172"/>
    <x v="1"/>
    <s v="United States"/>
    <s v="Lawrence"/>
    <s v="Massachusetts"/>
    <n v="1841"/>
    <x v="3"/>
    <s v="FUR-FU-10004712"/>
    <x v="0"/>
    <x v="5"/>
    <s v="Westinghouse Mesh Shade Clip-On Gooseneck Lamp, Black"/>
    <n v="56.56"/>
  </r>
  <r>
    <n v="424"/>
    <s v="CA-2018-125388"/>
    <d v="2018-10-19T00:00:00"/>
    <x v="2"/>
    <x v="3"/>
    <d v="2018-10-23T00:00:00"/>
    <n v="4"/>
    <x v="1"/>
    <s v="MP-17965"/>
    <x v="172"/>
    <x v="1"/>
    <s v="United States"/>
    <s v="Lawrence"/>
    <s v="Massachusetts"/>
    <n v="1841"/>
    <x v="3"/>
    <s v="OFF-ST-10000918"/>
    <x v="1"/>
    <x v="4"/>
    <s v="Crate-A-Files"/>
    <n v="32.700000000000003"/>
  </r>
  <r>
    <n v="425"/>
    <s v="CA-2018-155705"/>
    <d v="2018-08-21T00:00:00"/>
    <x v="6"/>
    <x v="3"/>
    <d v="2018-08-23T00:00:00"/>
    <n v="2"/>
    <x v="0"/>
    <s v="NF-18385"/>
    <x v="173"/>
    <x v="0"/>
    <s v="United States"/>
    <s v="Jackson"/>
    <s v="Mississippi"/>
    <n v="39212"/>
    <x v="0"/>
    <s v="FUR-CH-10000015"/>
    <x v="0"/>
    <x v="1"/>
    <s v="Hon Multipurpose Stacking Arm Chairs"/>
    <n v="866.4"/>
  </r>
  <r>
    <n v="426"/>
    <s v="CA-2018-149160"/>
    <d v="2018-11-23T00:00:00"/>
    <x v="0"/>
    <x v="3"/>
    <d v="2018-11-26T00:00:00"/>
    <n v="3"/>
    <x v="0"/>
    <s v="JM-15265"/>
    <x v="25"/>
    <x v="1"/>
    <s v="United States"/>
    <s v="Canton"/>
    <s v="Michigan"/>
    <n v="48187"/>
    <x v="2"/>
    <s v="FUR-FU-10003347"/>
    <x v="0"/>
    <x v="5"/>
    <s v="Coloredge Poster Frame"/>
    <n v="28.4"/>
  </r>
  <r>
    <n v="427"/>
    <s v="CA-2018-149160"/>
    <d v="2018-11-23T00:00:00"/>
    <x v="0"/>
    <x v="3"/>
    <d v="2018-11-26T00:00:00"/>
    <n v="3"/>
    <x v="0"/>
    <s v="JM-15265"/>
    <x v="25"/>
    <x v="1"/>
    <s v="United States"/>
    <s v="Canton"/>
    <s v="Michigan"/>
    <n v="48187"/>
    <x v="2"/>
    <s v="OFF-BI-10001543"/>
    <x v="1"/>
    <x v="8"/>
    <s v="GBC VeloBinder Manual Binding System"/>
    <n v="287.92"/>
  </r>
  <r>
    <n v="428"/>
    <s v="CA-2015-101476"/>
    <d v="2015-09-12T00:00:00"/>
    <x v="8"/>
    <x v="2"/>
    <d v="2015-09-13T00:00:00"/>
    <n v="1"/>
    <x v="2"/>
    <s v="SD-20485"/>
    <x v="174"/>
    <x v="2"/>
    <s v="United States"/>
    <s v="New Rochelle"/>
    <s v="New York"/>
    <n v="10801"/>
    <x v="3"/>
    <s v="TEC-MA-10000029"/>
    <x v="2"/>
    <x v="15"/>
    <s v="Epson WorkForce WF-2530 All-in-One Printer, Copier Scanner"/>
    <n v="69.989999999999995"/>
  </r>
  <r>
    <n v="429"/>
    <s v="CA-2018-152275"/>
    <d v="2018-10-01T00:00:00"/>
    <x v="2"/>
    <x v="3"/>
    <d v="2018-10-08T00:00:00"/>
    <n v="7"/>
    <x v="1"/>
    <s v="KH-16630"/>
    <x v="175"/>
    <x v="1"/>
    <s v="United States"/>
    <s v="San Antonio"/>
    <s v="Texas"/>
    <n v="78207"/>
    <x v="2"/>
    <s v="OFF-AR-10000369"/>
    <x v="1"/>
    <x v="6"/>
    <s v="Design Ebony Sketching Pencil"/>
    <n v="6.6719999999999997"/>
  </r>
  <r>
    <n v="430"/>
    <s v="US-2017-123750"/>
    <d v="2017-04-15T00:00:00"/>
    <x v="3"/>
    <x v="0"/>
    <d v="2017-04-21T00:00:00"/>
    <n v="6"/>
    <x v="1"/>
    <s v="RB-19795"/>
    <x v="176"/>
    <x v="2"/>
    <s v="United States"/>
    <s v="Gastonia"/>
    <s v="North Carolina"/>
    <n v="28052"/>
    <x v="0"/>
    <s v="OFF-BI-10004584"/>
    <x v="1"/>
    <x v="8"/>
    <s v="GBC ProClick 150 Presentation Binding System"/>
    <n v="189.58799999999999"/>
  </r>
  <r>
    <n v="431"/>
    <s v="US-2017-123750"/>
    <d v="2017-04-15T00:00:00"/>
    <x v="3"/>
    <x v="0"/>
    <d v="2017-04-21T00:00:00"/>
    <n v="6"/>
    <x v="1"/>
    <s v="RB-19795"/>
    <x v="176"/>
    <x v="2"/>
    <s v="United States"/>
    <s v="Gastonia"/>
    <s v="North Carolina"/>
    <n v="28052"/>
    <x v="0"/>
    <s v="TEC-AC-10004659"/>
    <x v="2"/>
    <x v="11"/>
    <s v="ImationÂ Secure+ Hardware Encrypted USB 2.0Â Flash Drive; 16GB"/>
    <n v="408.74400000000003"/>
  </r>
  <r>
    <n v="432"/>
    <s v="US-2017-123750"/>
    <d v="2017-04-15T00:00:00"/>
    <x v="3"/>
    <x v="0"/>
    <d v="2017-04-21T00:00:00"/>
    <n v="6"/>
    <x v="1"/>
    <s v="RB-19795"/>
    <x v="176"/>
    <x v="2"/>
    <s v="United States"/>
    <s v="Gastonia"/>
    <s v="North Carolina"/>
    <n v="28052"/>
    <x v="0"/>
    <s v="TEC-AC-10004659"/>
    <x v="2"/>
    <x v="11"/>
    <s v="ImationÂ Secure+ Hardware Encrypted USB 2.0Â Flash Drive; 16GB"/>
    <n v="291.95999999999998"/>
  </r>
  <r>
    <n v="433"/>
    <s v="US-2017-123750"/>
    <d v="2017-04-15T00:00:00"/>
    <x v="3"/>
    <x v="0"/>
    <d v="2017-04-21T00:00:00"/>
    <n v="6"/>
    <x v="1"/>
    <s v="RB-19795"/>
    <x v="176"/>
    <x v="2"/>
    <s v="United States"/>
    <s v="Gastonia"/>
    <s v="North Carolina"/>
    <n v="28052"/>
    <x v="0"/>
    <s v="OFF-ST-10000617"/>
    <x v="1"/>
    <x v="4"/>
    <s v="Woodgrain Magazine Files by Perma"/>
    <n v="4.7679999999999998"/>
  </r>
  <r>
    <n v="434"/>
    <s v="CA-2017-127369"/>
    <d v="2017-06-06T00:00:00"/>
    <x v="1"/>
    <x v="0"/>
    <d v="2017-06-07T00:00:00"/>
    <n v="1"/>
    <x v="2"/>
    <s v="DB-13060"/>
    <x v="72"/>
    <x v="0"/>
    <s v="United States"/>
    <s v="Lowell"/>
    <s v="Massachusetts"/>
    <n v="1852"/>
    <x v="3"/>
    <s v="OFF-ST-10003306"/>
    <x v="1"/>
    <x v="4"/>
    <s v="Letter Size Cart"/>
    <n v="714.3"/>
  </r>
  <r>
    <n v="435"/>
    <s v="US-2015-150574"/>
    <d v="2015-12-19T00:00:00"/>
    <x v="4"/>
    <x v="2"/>
    <d v="2015-12-25T00:00:00"/>
    <n v="6"/>
    <x v="1"/>
    <s v="MK-18160"/>
    <x v="177"/>
    <x v="0"/>
    <s v="United States"/>
    <s v="Jacksonville"/>
    <s v="Florida"/>
    <n v="32216"/>
    <x v="0"/>
    <s v="OFF-BI-10000773"/>
    <x v="1"/>
    <x v="8"/>
    <s v="Insertable Tab Post Binder Dividers"/>
    <n v="4.8120000000000003"/>
  </r>
  <r>
    <n v="436"/>
    <s v="US-2015-150574"/>
    <d v="2015-12-19T00:00:00"/>
    <x v="4"/>
    <x v="2"/>
    <d v="2015-12-25T00:00:00"/>
    <n v="6"/>
    <x v="1"/>
    <s v="MK-18160"/>
    <x v="177"/>
    <x v="0"/>
    <s v="United States"/>
    <s v="Jacksonville"/>
    <s v="Florida"/>
    <n v="32216"/>
    <x v="0"/>
    <s v="TEC-AC-10002600"/>
    <x v="2"/>
    <x v="11"/>
    <s v="Belkin QODE FastFit Bluetooth Keyboard"/>
    <n v="247.8"/>
  </r>
  <r>
    <n v="437"/>
    <s v="CA-2017-147375"/>
    <d v="2017-06-12T00:00:00"/>
    <x v="1"/>
    <x v="0"/>
    <d v="2017-06-14T00:00:00"/>
    <n v="2"/>
    <x v="0"/>
    <s v="PO-19180"/>
    <x v="178"/>
    <x v="2"/>
    <s v="United States"/>
    <s v="Chicago"/>
    <s v="Illinois"/>
    <n v="60623"/>
    <x v="2"/>
    <s v="TEC-MA-10002937"/>
    <x v="2"/>
    <x v="15"/>
    <s v="Canon Color ImageCLASS MF8580Cdw Wireless Laser All-In-One Printer, Copier, Scanner"/>
    <n v="1007.979"/>
  </r>
  <r>
    <n v="438"/>
    <s v="CA-2017-147375"/>
    <d v="2017-06-12T00:00:00"/>
    <x v="1"/>
    <x v="0"/>
    <d v="2017-06-14T00:00:00"/>
    <n v="2"/>
    <x v="0"/>
    <s v="PO-19180"/>
    <x v="178"/>
    <x v="2"/>
    <s v="United States"/>
    <s v="Chicago"/>
    <s v="Illinois"/>
    <n v="60623"/>
    <x v="2"/>
    <s v="OFF-PA-10001970"/>
    <x v="1"/>
    <x v="10"/>
    <s v="Xerox 1908"/>
    <n v="313.488"/>
  </r>
  <r>
    <n v="439"/>
    <s v="CA-2018-130043"/>
    <d v="2018-09-15T00:00:00"/>
    <x v="8"/>
    <x v="3"/>
    <d v="2018-09-19T00:00:00"/>
    <n v="4"/>
    <x v="1"/>
    <s v="BB-11545"/>
    <x v="179"/>
    <x v="1"/>
    <s v="United States"/>
    <s v="Houston"/>
    <s v="Texas"/>
    <n v="77070"/>
    <x v="2"/>
    <s v="OFF-PA-10002230"/>
    <x v="1"/>
    <x v="10"/>
    <s v="Xerox 1897"/>
    <n v="31.872"/>
  </r>
  <r>
    <n v="440"/>
    <s v="CA-2018-157252"/>
    <d v="2018-01-20T00:00:00"/>
    <x v="9"/>
    <x v="3"/>
    <d v="2018-01-23T00:00:00"/>
    <n v="3"/>
    <x v="0"/>
    <s v="CV-12805"/>
    <x v="51"/>
    <x v="1"/>
    <s v="United States"/>
    <s v="New York City"/>
    <s v="New York"/>
    <n v="10024"/>
    <x v="3"/>
    <s v="FUR-CH-10003396"/>
    <x v="0"/>
    <x v="1"/>
    <s v="Global Deluxe Steno Chair"/>
    <n v="207.846"/>
  </r>
  <r>
    <n v="441"/>
    <s v="CA-2017-115756"/>
    <d v="2017-09-05T00:00:00"/>
    <x v="8"/>
    <x v="0"/>
    <d v="2017-09-07T00:00:00"/>
    <n v="2"/>
    <x v="0"/>
    <s v="PK-19075"/>
    <x v="7"/>
    <x v="0"/>
    <s v="United States"/>
    <s v="Detroit"/>
    <s v="Michigan"/>
    <n v="48227"/>
    <x v="2"/>
    <s v="FUR-FU-10000246"/>
    <x v="0"/>
    <x v="5"/>
    <s v="Aluminum Document Frame"/>
    <n v="12.22"/>
  </r>
  <r>
    <n v="442"/>
    <s v="CA-2017-115756"/>
    <d v="2017-09-05T00:00:00"/>
    <x v="8"/>
    <x v="0"/>
    <d v="2017-09-07T00:00:00"/>
    <n v="2"/>
    <x v="0"/>
    <s v="PK-19075"/>
    <x v="7"/>
    <x v="0"/>
    <s v="United States"/>
    <s v="Detroit"/>
    <s v="Michigan"/>
    <n v="48227"/>
    <x v="2"/>
    <s v="OFF-ST-10000060"/>
    <x v="1"/>
    <x v="4"/>
    <s v="Fellowes Bankers Box Staxonsteel Drawer File/Stacking System"/>
    <n v="194.94"/>
  </r>
  <r>
    <n v="443"/>
    <s v="CA-2017-115756"/>
    <d v="2017-09-05T00:00:00"/>
    <x v="8"/>
    <x v="0"/>
    <d v="2017-09-07T00:00:00"/>
    <n v="2"/>
    <x v="0"/>
    <s v="PK-19075"/>
    <x v="7"/>
    <x v="0"/>
    <s v="United States"/>
    <s v="Detroit"/>
    <s v="Michigan"/>
    <n v="48227"/>
    <x v="2"/>
    <s v="OFF-ST-10003058"/>
    <x v="1"/>
    <x v="4"/>
    <s v="Eldon Mobile Mega Data Cart  Mega Stackable  Add-On Trays"/>
    <n v="70.95"/>
  </r>
  <r>
    <n v="444"/>
    <s v="CA-2017-115756"/>
    <d v="2017-09-05T00:00:00"/>
    <x v="8"/>
    <x v="0"/>
    <d v="2017-09-07T00:00:00"/>
    <n v="2"/>
    <x v="0"/>
    <s v="PK-19075"/>
    <x v="7"/>
    <x v="0"/>
    <s v="United States"/>
    <s v="Detroit"/>
    <s v="Michigan"/>
    <n v="48227"/>
    <x v="2"/>
    <s v="OFF-PA-10002222"/>
    <x v="1"/>
    <x v="10"/>
    <s v="Xerox Color Copier Paper, 11&quot; x 17&quot;, Ream"/>
    <n v="91.36"/>
  </r>
  <r>
    <n v="445"/>
    <s v="CA-2017-115756"/>
    <d v="2017-09-05T00:00:00"/>
    <x v="8"/>
    <x v="0"/>
    <d v="2017-09-07T00:00:00"/>
    <n v="2"/>
    <x v="0"/>
    <s v="PK-19075"/>
    <x v="7"/>
    <x v="0"/>
    <s v="United States"/>
    <s v="Detroit"/>
    <s v="Michigan"/>
    <n v="48227"/>
    <x v="2"/>
    <s v="FUR-CH-10002372"/>
    <x v="0"/>
    <x v="1"/>
    <s v="Office Star - Ergonomically Designed Knee Chair"/>
    <n v="242.94"/>
  </r>
  <r>
    <n v="446"/>
    <s v="CA-2017-115756"/>
    <d v="2017-09-05T00:00:00"/>
    <x v="8"/>
    <x v="0"/>
    <d v="2017-09-07T00:00:00"/>
    <n v="2"/>
    <x v="0"/>
    <s v="PK-19075"/>
    <x v="7"/>
    <x v="0"/>
    <s v="United States"/>
    <s v="Detroit"/>
    <s v="Michigan"/>
    <n v="48227"/>
    <x v="2"/>
    <s v="OFF-LA-10001317"/>
    <x v="1"/>
    <x v="2"/>
    <s v="Avery 520"/>
    <n v="22.05"/>
  </r>
  <r>
    <n v="447"/>
    <s v="CA-2018-154214"/>
    <d v="2018-03-20T00:00:00"/>
    <x v="10"/>
    <x v="3"/>
    <d v="2018-03-25T00:00:00"/>
    <n v="5"/>
    <x v="0"/>
    <s v="TB-21595"/>
    <x v="180"/>
    <x v="0"/>
    <s v="United States"/>
    <s v="Columbus"/>
    <s v="Indiana"/>
    <n v="47201"/>
    <x v="2"/>
    <s v="FUR-FU-10000206"/>
    <x v="0"/>
    <x v="5"/>
    <s v="GE General Purpose, Extra Long Life, Showcase &amp; Floodlight Incandescent Bulbs"/>
    <n v="2.91"/>
  </r>
  <r>
    <n v="448"/>
    <s v="CA-2017-166674"/>
    <d v="2017-04-01T00:00:00"/>
    <x v="3"/>
    <x v="0"/>
    <d v="2017-04-03T00:00:00"/>
    <n v="2"/>
    <x v="0"/>
    <s v="RB-19360"/>
    <x v="181"/>
    <x v="0"/>
    <s v="United States"/>
    <s v="Auburn"/>
    <s v="New York"/>
    <n v="13021"/>
    <x v="3"/>
    <s v="OFF-AR-10000588"/>
    <x v="1"/>
    <x v="6"/>
    <s v="Newell 345"/>
    <n v="59.52"/>
  </r>
  <r>
    <n v="449"/>
    <s v="CA-2017-166674"/>
    <d v="2017-04-01T00:00:00"/>
    <x v="3"/>
    <x v="0"/>
    <d v="2017-04-03T00:00:00"/>
    <n v="2"/>
    <x v="0"/>
    <s v="RB-19360"/>
    <x v="181"/>
    <x v="0"/>
    <s v="United States"/>
    <s v="Auburn"/>
    <s v="New York"/>
    <n v="13021"/>
    <x v="3"/>
    <s v="OFF-ST-10001469"/>
    <x v="1"/>
    <x v="4"/>
    <s v="Fellowes Bankers Box Recycled Super Stor/Drawer"/>
    <n v="161.94"/>
  </r>
  <r>
    <n v="450"/>
    <s v="CA-2017-166674"/>
    <d v="2017-04-01T00:00:00"/>
    <x v="3"/>
    <x v="0"/>
    <d v="2017-04-03T00:00:00"/>
    <n v="2"/>
    <x v="0"/>
    <s v="RB-19360"/>
    <x v="181"/>
    <x v="0"/>
    <s v="United States"/>
    <s v="Auburn"/>
    <s v="New York"/>
    <n v="13021"/>
    <x v="3"/>
    <s v="OFF-AR-10001953"/>
    <x v="1"/>
    <x v="6"/>
    <s v="Boston 1645 Deluxe Heavier-Duty Electric Pencil Sharpener"/>
    <n v="263.88"/>
  </r>
  <r>
    <n v="451"/>
    <s v="CA-2017-166674"/>
    <d v="2017-04-01T00:00:00"/>
    <x v="3"/>
    <x v="0"/>
    <d v="2017-04-03T00:00:00"/>
    <n v="2"/>
    <x v="0"/>
    <s v="RB-19360"/>
    <x v="181"/>
    <x v="0"/>
    <s v="United States"/>
    <s v="Auburn"/>
    <s v="New York"/>
    <n v="13021"/>
    <x v="3"/>
    <s v="OFF-AR-10003156"/>
    <x v="1"/>
    <x v="6"/>
    <s v="50 Colored Long Pencils"/>
    <n v="30.48"/>
  </r>
  <r>
    <n v="452"/>
    <s v="CA-2017-166674"/>
    <d v="2017-04-01T00:00:00"/>
    <x v="3"/>
    <x v="0"/>
    <d v="2017-04-03T00:00:00"/>
    <n v="2"/>
    <x v="0"/>
    <s v="RB-19360"/>
    <x v="181"/>
    <x v="0"/>
    <s v="United States"/>
    <s v="Auburn"/>
    <s v="New York"/>
    <n v="13021"/>
    <x v="3"/>
    <s v="OFF-AR-10004974"/>
    <x v="1"/>
    <x v="6"/>
    <s v="Newell 342"/>
    <n v="9.84"/>
  </r>
  <r>
    <n v="453"/>
    <s v="CA-2017-166674"/>
    <d v="2017-04-01T00:00:00"/>
    <x v="3"/>
    <x v="0"/>
    <d v="2017-04-03T00:00:00"/>
    <n v="2"/>
    <x v="0"/>
    <s v="RB-19360"/>
    <x v="181"/>
    <x v="0"/>
    <s v="United States"/>
    <s v="Auburn"/>
    <s v="New York"/>
    <n v="13021"/>
    <x v="3"/>
    <s v="TEC-PH-10002365"/>
    <x v="2"/>
    <x v="7"/>
    <s v="Belkin Grip Candy Sheer Case / Cover for iPhone 5 and 5S"/>
    <n v="35.119999999999997"/>
  </r>
  <r>
    <n v="454"/>
    <s v="CA-2018-147277"/>
    <d v="2018-10-20T00:00:00"/>
    <x v="2"/>
    <x v="3"/>
    <d v="2018-10-24T00:00:00"/>
    <n v="4"/>
    <x v="1"/>
    <s v="EB-13705"/>
    <x v="182"/>
    <x v="1"/>
    <s v="United States"/>
    <s v="Akron"/>
    <s v="Ohio"/>
    <n v="44312"/>
    <x v="3"/>
    <s v="FUR-TA-10001539"/>
    <x v="0"/>
    <x v="3"/>
    <s v="Chromcraft Rectangular Conference Tables"/>
    <n v="284.36399999999998"/>
  </r>
  <r>
    <n v="455"/>
    <s v="CA-2018-147277"/>
    <d v="2018-10-20T00:00:00"/>
    <x v="2"/>
    <x v="3"/>
    <d v="2018-10-24T00:00:00"/>
    <n v="4"/>
    <x v="1"/>
    <s v="EB-13705"/>
    <x v="182"/>
    <x v="1"/>
    <s v="United States"/>
    <s v="Akron"/>
    <s v="Ohio"/>
    <n v="44312"/>
    <x v="3"/>
    <s v="OFF-ST-10000142"/>
    <x v="1"/>
    <x v="4"/>
    <s v="Deluxe Rollaway Locking File with Drawer"/>
    <n v="665.40800000000002"/>
  </r>
  <r>
    <n v="456"/>
    <s v="CA-2017-100153"/>
    <d v="2017-12-13T00:00:00"/>
    <x v="4"/>
    <x v="0"/>
    <d v="2017-12-17T00:00:00"/>
    <n v="4"/>
    <x v="1"/>
    <s v="KH-16630"/>
    <x v="175"/>
    <x v="1"/>
    <s v="United States"/>
    <s v="Norman"/>
    <s v="Oklahoma"/>
    <n v="73071"/>
    <x v="2"/>
    <s v="TEC-AC-10001772"/>
    <x v="2"/>
    <x v="11"/>
    <s v="Memorex Mini Travel Drive 16 GB USB 2.0 Flash Drive"/>
    <n v="63.88"/>
  </r>
  <r>
    <n v="457"/>
    <s v="US-2015-110674"/>
    <d v="2015-02-12T00:00:00"/>
    <x v="11"/>
    <x v="2"/>
    <d v="2015-02-18T00:00:00"/>
    <n v="6"/>
    <x v="1"/>
    <s v="SC-20095"/>
    <x v="183"/>
    <x v="0"/>
    <s v="United States"/>
    <s v="Concord"/>
    <s v="California"/>
    <n v="94521"/>
    <x v="1"/>
    <s v="FUR-CH-10000225"/>
    <x v="0"/>
    <x v="1"/>
    <s v="Global Geo Office Task Chair, Gray"/>
    <n v="129.56800000000001"/>
  </r>
  <r>
    <n v="458"/>
    <s v="US-2017-157945"/>
    <d v="2017-09-26T00:00:00"/>
    <x v="8"/>
    <x v="0"/>
    <d v="2017-10-01T00:00:00"/>
    <n v="5"/>
    <x v="1"/>
    <s v="NF-18385"/>
    <x v="173"/>
    <x v="0"/>
    <s v="United States"/>
    <s v="Decatur"/>
    <s v="Illinois"/>
    <n v="62521"/>
    <x v="2"/>
    <s v="FUR-CH-10002331"/>
    <x v="0"/>
    <x v="1"/>
    <s v="Hon 4700 Series Mobuis Mid-Back Task Chairs with Adjustable Arms"/>
    <n v="747.55799999999999"/>
  </r>
  <r>
    <n v="459"/>
    <s v="US-2017-157945"/>
    <d v="2017-09-26T00:00:00"/>
    <x v="8"/>
    <x v="0"/>
    <d v="2017-10-01T00:00:00"/>
    <n v="5"/>
    <x v="1"/>
    <s v="NF-18385"/>
    <x v="173"/>
    <x v="0"/>
    <s v="United States"/>
    <s v="Decatur"/>
    <s v="Illinois"/>
    <n v="62521"/>
    <x v="2"/>
    <s v="OFF-EN-10001415"/>
    <x v="1"/>
    <x v="12"/>
    <s v="Staple envelope"/>
    <n v="8.9280000000000008"/>
  </r>
  <r>
    <n v="460"/>
    <s v="CA-2016-109638"/>
    <d v="2016-12-15T00:00:00"/>
    <x v="4"/>
    <x v="1"/>
    <d v="2016-12-22T00:00:00"/>
    <n v="7"/>
    <x v="1"/>
    <s v="JH-15985"/>
    <x v="98"/>
    <x v="0"/>
    <s v="United States"/>
    <s v="Seattle"/>
    <s v="Washington"/>
    <n v="98115"/>
    <x v="1"/>
    <s v="OFF-AP-10002472"/>
    <x v="1"/>
    <x v="9"/>
    <s v="3M Office Air Cleaner"/>
    <n v="103.92"/>
  </r>
  <r>
    <n v="461"/>
    <s v="CA-2016-109638"/>
    <d v="2016-12-15T00:00:00"/>
    <x v="4"/>
    <x v="1"/>
    <d v="2016-12-22T00:00:00"/>
    <n v="7"/>
    <x v="1"/>
    <s v="JH-15985"/>
    <x v="98"/>
    <x v="0"/>
    <s v="United States"/>
    <s v="Seattle"/>
    <s v="Washington"/>
    <n v="98115"/>
    <x v="1"/>
    <s v="TEC-AC-10004571"/>
    <x v="2"/>
    <x v="11"/>
    <s v="Logitech G700s Rechargeable Gaming Mouse"/>
    <n v="899.91"/>
  </r>
  <r>
    <n v="462"/>
    <s v="CA-2016-109638"/>
    <d v="2016-12-15T00:00:00"/>
    <x v="4"/>
    <x v="1"/>
    <d v="2016-12-22T00:00:00"/>
    <n v="7"/>
    <x v="1"/>
    <s v="JH-15985"/>
    <x v="98"/>
    <x v="0"/>
    <s v="United States"/>
    <s v="Seattle"/>
    <s v="Washington"/>
    <n v="98115"/>
    <x v="1"/>
    <s v="OFF-BI-10001098"/>
    <x v="1"/>
    <x v="8"/>
    <s v="Acco D-Ring Binder w/DublLock"/>
    <n v="51.311999999999998"/>
  </r>
  <r>
    <n v="463"/>
    <s v="CA-2017-109869"/>
    <d v="2017-04-22T00:00:00"/>
    <x v="3"/>
    <x v="0"/>
    <d v="2017-04-29T00:00:00"/>
    <n v="7"/>
    <x v="1"/>
    <s v="TN-21040"/>
    <x v="184"/>
    <x v="2"/>
    <s v="United States"/>
    <s v="Phoenix"/>
    <s v="Arizona"/>
    <n v="85023"/>
    <x v="1"/>
    <s v="FUR-FU-10000023"/>
    <x v="0"/>
    <x v="5"/>
    <s v="Eldon Wave Desk Accessories"/>
    <n v="23.56"/>
  </r>
  <r>
    <n v="464"/>
    <s v="CA-2017-109869"/>
    <d v="2017-04-22T00:00:00"/>
    <x v="3"/>
    <x v="0"/>
    <d v="2017-04-29T00:00:00"/>
    <n v="7"/>
    <x v="1"/>
    <s v="TN-21040"/>
    <x v="184"/>
    <x v="2"/>
    <s v="United States"/>
    <s v="Phoenix"/>
    <s v="Arizona"/>
    <n v="85023"/>
    <x v="1"/>
    <s v="FUR-TA-10001889"/>
    <x v="0"/>
    <x v="3"/>
    <s v="Bush Advantage Collection Racetrack Conference Table"/>
    <n v="1272.6300000000001"/>
  </r>
  <r>
    <n v="465"/>
    <s v="CA-2017-109869"/>
    <d v="2017-04-22T00:00:00"/>
    <x v="3"/>
    <x v="0"/>
    <d v="2017-04-29T00:00:00"/>
    <n v="7"/>
    <x v="1"/>
    <s v="TN-21040"/>
    <x v="184"/>
    <x v="2"/>
    <s v="United States"/>
    <s v="Phoenix"/>
    <s v="Arizona"/>
    <n v="85023"/>
    <x v="1"/>
    <s v="OFF-BI-10000315"/>
    <x v="1"/>
    <x v="8"/>
    <s v="Poly Designer Cover &amp; Back"/>
    <n v="28.484999999999999"/>
  </r>
  <r>
    <n v="466"/>
    <s v="CA-2017-109869"/>
    <d v="2017-04-22T00:00:00"/>
    <x v="3"/>
    <x v="0"/>
    <d v="2017-04-29T00:00:00"/>
    <n v="7"/>
    <x v="1"/>
    <s v="TN-21040"/>
    <x v="184"/>
    <x v="2"/>
    <s v="United States"/>
    <s v="Phoenix"/>
    <s v="Arizona"/>
    <n v="85023"/>
    <x v="1"/>
    <s v="OFF-SU-10003505"/>
    <x v="1"/>
    <x v="14"/>
    <s v="Premier Electric Letter Opener"/>
    <n v="185.376"/>
  </r>
  <r>
    <n v="467"/>
    <s v="CA-2017-109869"/>
    <d v="2017-04-22T00:00:00"/>
    <x v="3"/>
    <x v="0"/>
    <d v="2017-04-29T00:00:00"/>
    <n v="7"/>
    <x v="1"/>
    <s v="TN-21040"/>
    <x v="184"/>
    <x v="2"/>
    <s v="United States"/>
    <s v="Phoenix"/>
    <s v="Arizona"/>
    <n v="85023"/>
    <x v="1"/>
    <s v="OFF-AP-10002578"/>
    <x v="1"/>
    <x v="9"/>
    <s v="Fellowes Premier Superior Surge Suppressor, 10-Outlet, With Phone and Remote"/>
    <n v="78.272000000000006"/>
  </r>
  <r>
    <n v="468"/>
    <s v="US-2016-101399"/>
    <d v="2016-01-17T00:00:00"/>
    <x v="9"/>
    <x v="1"/>
    <d v="2016-01-24T00:00:00"/>
    <n v="7"/>
    <x v="1"/>
    <s v="JS-15940"/>
    <x v="185"/>
    <x v="2"/>
    <s v="United States"/>
    <s v="Park Ridge"/>
    <s v="Illinois"/>
    <n v="60068"/>
    <x v="2"/>
    <s v="FUR-FU-10002918"/>
    <x v="0"/>
    <x v="5"/>
    <s v="Eldon ClusterMat Chair Mat with Cordless Antistatic Protection"/>
    <n v="254.744"/>
  </r>
  <r>
    <n v="469"/>
    <s v="CA-2018-154907"/>
    <d v="2018-03-31T00:00:00"/>
    <x v="10"/>
    <x v="3"/>
    <d v="2018-04-04T00:00:00"/>
    <n v="4"/>
    <x v="1"/>
    <s v="DS-13180"/>
    <x v="103"/>
    <x v="1"/>
    <s v="United States"/>
    <s v="Amarillo"/>
    <s v="Texas"/>
    <n v="79109"/>
    <x v="2"/>
    <s v="FUR-BO-10002824"/>
    <x v="0"/>
    <x v="0"/>
    <s v="Bush Mission Pointe Library"/>
    <n v="205.33279999999999"/>
  </r>
  <r>
    <n v="470"/>
    <s v="US-2017-100419"/>
    <d v="2017-12-16T00:00:00"/>
    <x v="4"/>
    <x v="0"/>
    <d v="2017-12-20T00:00:00"/>
    <n v="4"/>
    <x v="0"/>
    <s v="CC-12670"/>
    <x v="113"/>
    <x v="0"/>
    <s v="United States"/>
    <s v="Chicago"/>
    <s v="Illinois"/>
    <n v="60610"/>
    <x v="2"/>
    <s v="OFF-BI-10002194"/>
    <x v="1"/>
    <x v="8"/>
    <s v="Cardinal Hold-It CD Pocket"/>
    <n v="4.7880000000000003"/>
  </r>
  <r>
    <n v="471"/>
    <s v="CA-2016-154144"/>
    <d v="2016-12-20T00:00:00"/>
    <x v="4"/>
    <x v="1"/>
    <d v="2016-12-24T00:00:00"/>
    <n v="4"/>
    <x v="1"/>
    <s v="MH-17785"/>
    <x v="186"/>
    <x v="1"/>
    <s v="United States"/>
    <s v="Lindenhurst"/>
    <s v="New York"/>
    <n v="11757"/>
    <x v="3"/>
    <s v="OFF-PA-10004071"/>
    <x v="1"/>
    <x v="10"/>
    <s v="Eaton Premium Continuous-Feed Paper, 25% Cotton, Letter Size, White, 1000 Shts/Box"/>
    <n v="55.48"/>
  </r>
  <r>
    <n v="472"/>
    <s v="CA-2015-144666"/>
    <d v="2015-11-09T00:00:00"/>
    <x v="0"/>
    <x v="2"/>
    <d v="2015-11-11T00:00:00"/>
    <n v="2"/>
    <x v="0"/>
    <s v="JP-15520"/>
    <x v="187"/>
    <x v="0"/>
    <s v="United States"/>
    <s v="San Francisco"/>
    <s v="California"/>
    <n v="94110"/>
    <x v="1"/>
    <s v="OFF-ST-10002743"/>
    <x v="1"/>
    <x v="4"/>
    <s v="SAFCO Boltless Steel Shelving"/>
    <n v="340.92"/>
  </r>
  <r>
    <n v="473"/>
    <s v="CA-2015-144666"/>
    <d v="2015-11-09T00:00:00"/>
    <x v="0"/>
    <x v="2"/>
    <d v="2015-11-11T00:00:00"/>
    <n v="2"/>
    <x v="0"/>
    <s v="JP-15520"/>
    <x v="187"/>
    <x v="0"/>
    <s v="United States"/>
    <s v="San Francisco"/>
    <s v="California"/>
    <n v="94110"/>
    <x v="1"/>
    <s v="FUR-BO-10001601"/>
    <x v="0"/>
    <x v="0"/>
    <s v="Sauder Mission Library with Doors, Fruitwood Finish"/>
    <n v="222.666"/>
  </r>
  <r>
    <n v="474"/>
    <s v="CA-2015-144666"/>
    <d v="2015-11-09T00:00:00"/>
    <x v="0"/>
    <x v="2"/>
    <d v="2015-11-11T00:00:00"/>
    <n v="2"/>
    <x v="0"/>
    <s v="JP-15520"/>
    <x v="187"/>
    <x v="0"/>
    <s v="United States"/>
    <s v="San Francisco"/>
    <s v="California"/>
    <n v="94110"/>
    <x v="1"/>
    <s v="TEC-PH-10002680"/>
    <x v="2"/>
    <x v="7"/>
    <s v="Samsung Galaxy Note 3"/>
    <n v="703.96799999999996"/>
  </r>
  <r>
    <n v="475"/>
    <s v="CA-2015-144666"/>
    <d v="2015-11-09T00:00:00"/>
    <x v="0"/>
    <x v="2"/>
    <d v="2015-11-11T00:00:00"/>
    <n v="2"/>
    <x v="0"/>
    <s v="JP-15520"/>
    <x v="187"/>
    <x v="0"/>
    <s v="United States"/>
    <s v="San Francisco"/>
    <s v="California"/>
    <n v="94110"/>
    <x v="1"/>
    <s v="OFF-ST-10001321"/>
    <x v="1"/>
    <x v="4"/>
    <s v="Decoflex Hanging Personal Folder File, Blue"/>
    <n v="92.52"/>
  </r>
  <r>
    <n v="476"/>
    <s v="CA-2015-144666"/>
    <d v="2015-11-09T00:00:00"/>
    <x v="0"/>
    <x v="2"/>
    <d v="2015-11-11T00:00:00"/>
    <n v="2"/>
    <x v="0"/>
    <s v="JP-15520"/>
    <x v="187"/>
    <x v="0"/>
    <s v="United States"/>
    <s v="San Francisco"/>
    <s v="California"/>
    <n v="94110"/>
    <x v="1"/>
    <s v="OFF-PA-10001509"/>
    <x v="1"/>
    <x v="10"/>
    <s v="Recycled Desk Saver Line &quot;While You Were Out&quot; Book, 5 1/2&quot; X 4&quot;"/>
    <n v="62.65"/>
  </r>
  <r>
    <n v="477"/>
    <s v="CA-2015-144666"/>
    <d v="2015-11-09T00:00:00"/>
    <x v="0"/>
    <x v="2"/>
    <d v="2015-11-11T00:00:00"/>
    <n v="2"/>
    <x v="0"/>
    <s v="JP-15520"/>
    <x v="187"/>
    <x v="0"/>
    <s v="United States"/>
    <s v="San Francisco"/>
    <s v="California"/>
    <n v="94110"/>
    <x v="1"/>
    <s v="OFF-PA-10003465"/>
    <x v="1"/>
    <x v="10"/>
    <s v="Xerox 1912"/>
    <n v="94.85"/>
  </r>
  <r>
    <n v="478"/>
    <s v="CA-2017-103891"/>
    <d v="2017-07-12T00:00:00"/>
    <x v="7"/>
    <x v="0"/>
    <d v="2017-07-19T00:00:00"/>
    <n v="7"/>
    <x v="1"/>
    <s v="KH-16690"/>
    <x v="120"/>
    <x v="1"/>
    <s v="United States"/>
    <s v="Los Angeles"/>
    <s v="California"/>
    <n v="90008"/>
    <x v="1"/>
    <s v="TEC-PH-10000149"/>
    <x v="2"/>
    <x v="7"/>
    <s v="Cisco SPA525G2 IP Phone - Wireless"/>
    <n v="95.76"/>
  </r>
  <r>
    <n v="479"/>
    <s v="CA-2017-152632"/>
    <d v="2017-10-27T00:00:00"/>
    <x v="2"/>
    <x v="0"/>
    <d v="2017-11-02T00:00:00"/>
    <n v="6"/>
    <x v="1"/>
    <s v="JE-15475"/>
    <x v="188"/>
    <x v="0"/>
    <s v="United States"/>
    <s v="Troy"/>
    <s v="New York"/>
    <n v="12180"/>
    <x v="3"/>
    <s v="FUR-FU-10002671"/>
    <x v="0"/>
    <x v="5"/>
    <s v="Electrix 20W Halogen Replacement Bulb for Zoom-In Desk Lamp"/>
    <n v="40.200000000000003"/>
  </r>
  <r>
    <n v="480"/>
    <s v="CA-2017-100790"/>
    <d v="2017-06-26T00:00:00"/>
    <x v="1"/>
    <x v="0"/>
    <d v="2017-07-02T00:00:00"/>
    <n v="6"/>
    <x v="1"/>
    <s v="JG-15805"/>
    <x v="189"/>
    <x v="1"/>
    <s v="United States"/>
    <s v="New York City"/>
    <s v="New York"/>
    <n v="10024"/>
    <x v="3"/>
    <s v="OFF-AR-10003045"/>
    <x v="1"/>
    <x v="6"/>
    <s v="Prang Colored Pencils"/>
    <n v="14.7"/>
  </r>
  <r>
    <n v="481"/>
    <s v="CA-2017-100790"/>
    <d v="2017-06-26T00:00:00"/>
    <x v="1"/>
    <x v="0"/>
    <d v="2017-07-02T00:00:00"/>
    <n v="6"/>
    <x v="1"/>
    <s v="JG-15805"/>
    <x v="189"/>
    <x v="1"/>
    <s v="United States"/>
    <s v="New York City"/>
    <s v="New York"/>
    <n v="10024"/>
    <x v="3"/>
    <s v="OFF-ST-10000689"/>
    <x v="1"/>
    <x v="4"/>
    <s v="Fellowes Strictly Business Drawer File, Letter/Legal Size"/>
    <n v="704.25"/>
  </r>
  <r>
    <n v="482"/>
    <s v="CA-2015-134677"/>
    <d v="2015-10-06T00:00:00"/>
    <x v="2"/>
    <x v="2"/>
    <d v="2015-10-10T00:00:00"/>
    <n v="4"/>
    <x v="1"/>
    <s v="XP-21865"/>
    <x v="190"/>
    <x v="0"/>
    <s v="United States"/>
    <s v="San Diego"/>
    <s v="California"/>
    <n v="92024"/>
    <x v="1"/>
    <s v="TEC-AC-10001445"/>
    <x v="2"/>
    <x v="11"/>
    <s v="ImationÂ USB 2.0 SwivelÂ Flash DriveÂ USBÂ flash driveÂ - 4 GB - Pink"/>
    <n v="9.09"/>
  </r>
  <r>
    <n v="483"/>
    <s v="CA-2015-127691"/>
    <d v="2015-07-22T00:00:00"/>
    <x v="7"/>
    <x v="2"/>
    <d v="2015-07-27T00:00:00"/>
    <n v="5"/>
    <x v="1"/>
    <s v="EM-14065"/>
    <x v="191"/>
    <x v="0"/>
    <s v="United States"/>
    <s v="New York City"/>
    <s v="New York"/>
    <n v="10024"/>
    <x v="3"/>
    <s v="OFF-AR-10002053"/>
    <x v="1"/>
    <x v="6"/>
    <s v="Premium Writing Pencils, Soft, #2 by Central Association for the Blind"/>
    <n v="5.96"/>
  </r>
  <r>
    <n v="484"/>
    <s v="CA-2015-127691"/>
    <d v="2015-07-22T00:00:00"/>
    <x v="7"/>
    <x v="2"/>
    <d v="2015-07-27T00:00:00"/>
    <n v="5"/>
    <x v="1"/>
    <s v="EM-14065"/>
    <x v="191"/>
    <x v="0"/>
    <s v="United States"/>
    <s v="New York City"/>
    <s v="New York"/>
    <n v="10024"/>
    <x v="3"/>
    <s v="TEC-AC-10002567"/>
    <x v="2"/>
    <x v="11"/>
    <s v="Logitech G602 Wireless Gaming Mouse"/>
    <n v="159.97999999999999"/>
  </r>
  <r>
    <n v="485"/>
    <s v="CA-2018-140963"/>
    <d v="2018-06-10T00:00:00"/>
    <x v="1"/>
    <x v="3"/>
    <d v="2018-06-13T00:00:00"/>
    <n v="3"/>
    <x v="2"/>
    <s v="MT-18070"/>
    <x v="192"/>
    <x v="2"/>
    <s v="United States"/>
    <s v="Los Angeles"/>
    <s v="California"/>
    <n v="90045"/>
    <x v="1"/>
    <s v="OFF-LA-10003923"/>
    <x v="1"/>
    <x v="2"/>
    <s v="Alphabetical Labels for Top Tab Filing"/>
    <n v="29.6"/>
  </r>
  <r>
    <n v="486"/>
    <s v="CA-2018-140963"/>
    <d v="2018-06-10T00:00:00"/>
    <x v="1"/>
    <x v="3"/>
    <d v="2018-06-13T00:00:00"/>
    <n v="3"/>
    <x v="2"/>
    <s v="MT-18070"/>
    <x v="192"/>
    <x v="2"/>
    <s v="United States"/>
    <s v="Los Angeles"/>
    <s v="California"/>
    <n v="90045"/>
    <x v="1"/>
    <s v="FUR-BO-10001337"/>
    <x v="0"/>
    <x v="0"/>
    <s v="O'Sullivan Living Dimensions 2-Shelf Bookcases"/>
    <n v="514.16499999999996"/>
  </r>
  <r>
    <n v="487"/>
    <s v="CA-2018-140963"/>
    <d v="2018-06-10T00:00:00"/>
    <x v="1"/>
    <x v="3"/>
    <d v="2018-06-13T00:00:00"/>
    <n v="3"/>
    <x v="2"/>
    <s v="MT-18070"/>
    <x v="192"/>
    <x v="2"/>
    <s v="United States"/>
    <s v="Los Angeles"/>
    <s v="California"/>
    <n v="90045"/>
    <x v="1"/>
    <s v="TEC-PH-10001924"/>
    <x v="2"/>
    <x v="7"/>
    <s v="iHome FM Clock Radio with Lightning Dock"/>
    <n v="279.95999999999998"/>
  </r>
  <r>
    <n v="488"/>
    <s v="CA-2015-154627"/>
    <d v="2015-10-29T00:00:00"/>
    <x v="2"/>
    <x v="2"/>
    <d v="2015-10-31T00:00:00"/>
    <n v="2"/>
    <x v="2"/>
    <s v="SA-20830"/>
    <x v="193"/>
    <x v="0"/>
    <s v="United States"/>
    <s v="Chicago"/>
    <s v="Illinois"/>
    <n v="60610"/>
    <x v="2"/>
    <s v="TEC-PH-10001363"/>
    <x v="2"/>
    <x v="7"/>
    <s v="Apple iPhone 5S"/>
    <n v="2735.9520000000002"/>
  </r>
  <r>
    <n v="489"/>
    <s v="CA-2015-133753"/>
    <d v="2015-06-09T00:00:00"/>
    <x v="1"/>
    <x v="2"/>
    <d v="2015-06-13T00:00:00"/>
    <n v="4"/>
    <x v="0"/>
    <s v="CW-11905"/>
    <x v="194"/>
    <x v="2"/>
    <s v="United States"/>
    <s v="Huntsville"/>
    <s v="Texas"/>
    <n v="77340"/>
    <x v="2"/>
    <s v="TEC-PH-10000376"/>
    <x v="2"/>
    <x v="7"/>
    <s v="Square Credit Card Reader"/>
    <n v="7.992"/>
  </r>
  <r>
    <n v="490"/>
    <s v="CA-2015-133753"/>
    <d v="2015-06-09T00:00:00"/>
    <x v="1"/>
    <x v="2"/>
    <d v="2015-06-13T00:00:00"/>
    <n v="4"/>
    <x v="0"/>
    <s v="CW-11905"/>
    <x v="194"/>
    <x v="2"/>
    <s v="United States"/>
    <s v="Huntsville"/>
    <s v="Texas"/>
    <n v="77340"/>
    <x v="2"/>
    <s v="TEC-AC-10000303"/>
    <x v="2"/>
    <x v="11"/>
    <s v="Logitech M510 Wireless Mouse"/>
    <n v="63.984000000000002"/>
  </r>
  <r>
    <n v="491"/>
    <s v="CA-2015-133753"/>
    <d v="2015-06-09T00:00:00"/>
    <x v="1"/>
    <x v="2"/>
    <d v="2015-06-13T00:00:00"/>
    <n v="4"/>
    <x v="0"/>
    <s v="CW-11905"/>
    <x v="194"/>
    <x v="2"/>
    <s v="United States"/>
    <s v="Huntsville"/>
    <s v="Texas"/>
    <n v="77340"/>
    <x v="2"/>
    <s v="OFF-AR-10001953"/>
    <x v="1"/>
    <x v="6"/>
    <s v="Boston 1645 Deluxe Heavier-Duty Electric Pencil Sharpener"/>
    <n v="70.367999999999995"/>
  </r>
  <r>
    <n v="492"/>
    <s v="CA-2015-113362"/>
    <d v="2015-09-14T00:00:00"/>
    <x v="8"/>
    <x v="2"/>
    <d v="2015-09-19T00:00:00"/>
    <n v="5"/>
    <x v="1"/>
    <s v="AJ-10960"/>
    <x v="195"/>
    <x v="0"/>
    <s v="United States"/>
    <s v="Rochester"/>
    <s v="New York"/>
    <n v="14609"/>
    <x v="3"/>
    <s v="OFF-ST-10001809"/>
    <x v="1"/>
    <x v="4"/>
    <s v="Fellowes Officeware Wire Shelving"/>
    <n v="449.15"/>
  </r>
  <r>
    <n v="493"/>
    <s v="CA-2015-113362"/>
    <d v="2015-09-14T00:00:00"/>
    <x v="8"/>
    <x v="2"/>
    <d v="2015-09-19T00:00:00"/>
    <n v="5"/>
    <x v="1"/>
    <s v="AJ-10960"/>
    <x v="195"/>
    <x v="0"/>
    <s v="United States"/>
    <s v="Rochester"/>
    <s v="New York"/>
    <n v="14609"/>
    <x v="3"/>
    <s v="OFF-EN-10003845"/>
    <x v="1"/>
    <x v="12"/>
    <s v="Colored Envelopes"/>
    <n v="11.07"/>
  </r>
  <r>
    <n v="494"/>
    <s v="CA-2017-169166"/>
    <d v="2017-05-09T00:00:00"/>
    <x v="5"/>
    <x v="0"/>
    <d v="2017-05-14T00:00:00"/>
    <n v="5"/>
    <x v="1"/>
    <s v="SS-20590"/>
    <x v="196"/>
    <x v="0"/>
    <s v="United States"/>
    <s v="Seattle"/>
    <s v="Washington"/>
    <n v="98115"/>
    <x v="1"/>
    <s v="TEC-AC-10000991"/>
    <x v="2"/>
    <x v="11"/>
    <s v="Sony Micro Vault Click 8 GB USB 2.0 Flash Drive"/>
    <n v="93.98"/>
  </r>
  <r>
    <n v="495"/>
    <s v="US-2017-120929"/>
    <d v="2017-03-18T00:00:00"/>
    <x v="10"/>
    <x v="0"/>
    <d v="2017-03-21T00:00:00"/>
    <n v="3"/>
    <x v="0"/>
    <s v="RO-19780"/>
    <x v="197"/>
    <x v="0"/>
    <s v="United States"/>
    <s v="Memphis"/>
    <s v="Tennessee"/>
    <n v="38109"/>
    <x v="0"/>
    <s v="FUR-TA-10001857"/>
    <x v="0"/>
    <x v="3"/>
    <s v="Balt Solid Wood Rectangular Table"/>
    <n v="189.88200000000001"/>
  </r>
  <r>
    <n v="496"/>
    <s v="CA-2016-134782"/>
    <d v="2016-12-27T00:00:00"/>
    <x v="4"/>
    <x v="1"/>
    <d v="2016-12-31T00:00:00"/>
    <n v="4"/>
    <x v="1"/>
    <s v="MD-17350"/>
    <x v="198"/>
    <x v="0"/>
    <s v="United States"/>
    <s v="Fayetteville"/>
    <s v="Arkansas"/>
    <n v="72701"/>
    <x v="0"/>
    <s v="OFF-EN-10001434"/>
    <x v="1"/>
    <x v="12"/>
    <s v="Strathmore #10 Envelopes, Ultimate White"/>
    <n v="105.42"/>
  </r>
  <r>
    <n v="497"/>
    <s v="CA-2017-126158"/>
    <d v="2017-07-25T00:00:00"/>
    <x v="7"/>
    <x v="0"/>
    <d v="2017-07-31T00:00:00"/>
    <n v="6"/>
    <x v="1"/>
    <s v="SC-20095"/>
    <x v="183"/>
    <x v="0"/>
    <s v="United States"/>
    <s v="Costa Mesa"/>
    <s v="California"/>
    <n v="92627"/>
    <x v="1"/>
    <s v="OFF-BI-10002498"/>
    <x v="1"/>
    <x v="8"/>
    <s v="Clear Mylar Reinforcing Strips"/>
    <n v="119.616"/>
  </r>
  <r>
    <n v="498"/>
    <s v="CA-2017-126158"/>
    <d v="2017-07-25T00:00:00"/>
    <x v="7"/>
    <x v="0"/>
    <d v="2017-07-31T00:00:00"/>
    <n v="6"/>
    <x v="1"/>
    <s v="SC-20095"/>
    <x v="183"/>
    <x v="0"/>
    <s v="United States"/>
    <s v="Costa Mesa"/>
    <s v="California"/>
    <n v="92627"/>
    <x v="1"/>
    <s v="FUR-FU-10004864"/>
    <x v="0"/>
    <x v="5"/>
    <s v="Howard Miller 14-1/2&quot; Diameter Chrome Round Wall Clock"/>
    <n v="255.76"/>
  </r>
  <r>
    <n v="499"/>
    <s v="CA-2017-126158"/>
    <d v="2017-07-25T00:00:00"/>
    <x v="7"/>
    <x v="0"/>
    <d v="2017-07-31T00:00:00"/>
    <n v="6"/>
    <x v="1"/>
    <s v="SC-20095"/>
    <x v="183"/>
    <x v="0"/>
    <s v="United States"/>
    <s v="Costa Mesa"/>
    <s v="California"/>
    <n v="92627"/>
    <x v="1"/>
    <s v="FUR-CH-10002602"/>
    <x v="0"/>
    <x v="1"/>
    <s v="DMI Arturo Collection Mission-style Design Wood Chair"/>
    <n v="241.568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6354CA-54F7-4EF3-A283-2A0D58AF67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1">
    <pivotField showAll="0"/>
    <pivotField dataField="1" showAll="0"/>
    <pivotField numFmtId="14" showAll="0"/>
    <pivotField showAll="0"/>
    <pivotField numFmtId="1" showAll="0"/>
    <pivotField numFmtId="14" showAll="0"/>
    <pivotField numFmtId="1"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5"/>
  </rowFields>
  <rowItems count="5">
    <i>
      <x/>
    </i>
    <i>
      <x v="1"/>
    </i>
    <i>
      <x v="2"/>
    </i>
    <i>
      <x v="3"/>
    </i>
    <i t="grand">
      <x/>
    </i>
  </rowItems>
  <colFields count="1">
    <field x="-2"/>
  </colFields>
  <colItems count="2">
    <i>
      <x/>
    </i>
    <i i="1">
      <x v="1"/>
    </i>
  </colItems>
  <dataFields count="2">
    <dataField name="Sum of Sales" fld="20" baseField="0" baseItem="0" numFmtId="2"/>
    <dataField name="Count of Order ID" fld="1" subtotal="count" baseField="0" baseItem="0"/>
  </dataFields>
  <formats count="2">
    <format dxfId="3">
      <pivotArea outline="0" collapsedLevelsAreSubtotals="1" fieldPosition="0"/>
    </format>
    <format dxfId="2">
      <pivotArea grandRow="1"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C2C01-EBD1-48E0-9063-5DE4FC9E55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21">
    <pivotField showAll="0"/>
    <pivotField dataField="1" showAll="0"/>
    <pivotField numFmtId="14" showAll="0"/>
    <pivotField showAll="0"/>
    <pivotField numFmtId="1" showAll="0"/>
    <pivotField numFmtId="14" showAll="0"/>
    <pivotField numFmtId="1" showAll="0"/>
    <pivotField showAll="0"/>
    <pivotField showAll="0"/>
    <pivotField showAll="0"/>
    <pivotField showAll="0"/>
    <pivotField showAll="0"/>
    <pivotField showAll="0"/>
    <pivotField showAll="0"/>
    <pivotField showAll="0"/>
    <pivotField showAll="0"/>
    <pivotField showAll="0"/>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s>
  <rowFields count="2">
    <field x="17"/>
    <field x="18"/>
  </rowFields>
  <rowItems count="4">
    <i>
      <x/>
    </i>
    <i>
      <x v="1"/>
    </i>
    <i>
      <x v="2"/>
    </i>
    <i t="grand">
      <x/>
    </i>
  </rowItems>
  <colFields count="1">
    <field x="-2"/>
  </colFields>
  <colItems count="2">
    <i>
      <x/>
    </i>
    <i i="1">
      <x v="1"/>
    </i>
  </colItems>
  <dataFields count="2">
    <dataField name="Sum of Sales" fld="20" baseField="0" baseItem="0"/>
    <dataField name="Count of Order ID" fld="1" subtotal="count"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7"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 chart="2" format="4">
      <pivotArea type="data" outline="0" fieldPosition="0">
        <references count="2">
          <reference field="4294967294" count="1" selected="0">
            <x v="0"/>
          </reference>
          <reference field="17" count="1" selected="0">
            <x v="2"/>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7" count="1" selected="0">
            <x v="0"/>
          </reference>
        </references>
      </pivotArea>
    </chartFormat>
    <chartFormat chart="2" format="7">
      <pivotArea type="data" outline="0" fieldPosition="0">
        <references count="2">
          <reference field="4294967294" count="1" selected="0">
            <x v="1"/>
          </reference>
          <reference field="17" count="1" selected="0">
            <x v="1"/>
          </reference>
        </references>
      </pivotArea>
    </chartFormat>
    <chartFormat chart="2" format="8">
      <pivotArea type="data" outline="0" fieldPosition="0">
        <references count="2">
          <reference field="4294967294" count="1" selected="0">
            <x v="1"/>
          </reference>
          <reference field="17"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2BC6FE-57A1-4791-A0EF-0351EEDC8E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showAll="0"/>
    <pivotField numFmtId="14" showAll="0"/>
    <pivotField showAll="0"/>
    <pivotField numFmtId="1" showAll="0"/>
    <pivotField numFmtId="14" showAll="0"/>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0"/>
  </rowFields>
  <rowItems count="4">
    <i>
      <x/>
    </i>
    <i>
      <x v="1"/>
    </i>
    <i>
      <x v="2"/>
    </i>
    <i t="grand">
      <x/>
    </i>
  </rowItems>
  <colItems count="1">
    <i/>
  </colItems>
  <dataFields count="1">
    <dataField name="Sum of Sales" fld="20"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10EEF7-440B-4664-A121-528FDE4D14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1">
    <pivotField showAll="0"/>
    <pivotField showAll="0"/>
    <pivotField numFmtId="14" showAll="0"/>
    <pivotField axis="axisRow" showAll="0">
      <items count="13">
        <item x="9"/>
        <item x="11"/>
        <item x="10"/>
        <item x="3"/>
        <item x="5"/>
        <item x="1"/>
        <item x="7"/>
        <item x="6"/>
        <item x="8"/>
        <item x="2"/>
        <item x="0"/>
        <item x="4"/>
        <item t="default"/>
      </items>
    </pivotField>
    <pivotField numFmtId="1" showAll="0">
      <items count="5">
        <item x="2"/>
        <item x="1"/>
        <item x="0"/>
        <item x="3"/>
        <item t="default"/>
      </items>
    </pivotField>
    <pivotField numFmtId="1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Sales" fld="20" baseField="0" baseItem="0"/>
  </dataFields>
  <formats count="1">
    <format dxfId="1">
      <pivotArea grandRow="1" outline="0" collapsedLevelsAreSubtotals="1"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93D8EF-35AB-4607-AE6D-FE7EEBB75E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21">
    <pivotField showAll="0"/>
    <pivotField dataField="1" showAll="0"/>
    <pivotField numFmtId="14" showAll="0"/>
    <pivotField showAll="0"/>
    <pivotField numFmtId="1" showAll="0"/>
    <pivotField numFmtId="14" showAll="0"/>
    <pivotField dataField="1" numFmtId="1"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5">
    <i>
      <x/>
    </i>
    <i>
      <x v="1"/>
    </i>
    <i>
      <x v="2"/>
    </i>
    <i>
      <x v="3"/>
    </i>
    <i t="grand">
      <x/>
    </i>
  </rowItems>
  <colFields count="1">
    <field x="-2"/>
  </colFields>
  <colItems count="3">
    <i>
      <x/>
    </i>
    <i i="1">
      <x v="1"/>
    </i>
    <i i="2">
      <x v="2"/>
    </i>
  </colItems>
  <dataFields count="3">
    <dataField name="Sum of Sales" fld="20" baseField="0" baseItem="0"/>
    <dataField name="Count of Order ID" fld="1" subtotal="count" baseField="0" baseItem="0"/>
    <dataField name="Average of Delivery Days" fld="6" subtotal="average" baseField="7" baseItem="0" numFmtId="1"/>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3CBFF3-9BC3-4CEA-BC2E-F040DE3D62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1">
    <pivotField showAll="0"/>
    <pivotField showAll="0"/>
    <pivotField numFmtId="14" showAll="0"/>
    <pivotField showAll="0"/>
    <pivotField numFmtId="1" showAll="0"/>
    <pivotField numFmtId="14" showAll="0"/>
    <pivotField numFmtId="1" showAll="0"/>
    <pivotField showAll="0"/>
    <pivotField showAll="0"/>
    <pivotField axis="axisRow" showAll="0" measureFilter="1" sortType="ascending">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11">
    <i>
      <x v="181"/>
    </i>
    <i>
      <x v="102"/>
    </i>
    <i>
      <x v="22"/>
    </i>
    <i>
      <x v="48"/>
    </i>
    <i>
      <x v="189"/>
    </i>
    <i>
      <x v="101"/>
    </i>
    <i>
      <x/>
    </i>
    <i>
      <x v="138"/>
    </i>
    <i>
      <x v="171"/>
    </i>
    <i>
      <x v="18"/>
    </i>
    <i t="grand">
      <x/>
    </i>
  </rowItems>
  <colItems count="1">
    <i/>
  </colItems>
  <dataFields count="1">
    <dataField name="Sum of Sales" fld="20" baseField="0" baseItem="0" numFmtId="2"/>
  </dataFields>
  <formats count="1">
    <format dxfId="0">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72C0F1-3834-48C0-8572-0EC9DAED8008}" sourceName="Region">
  <pivotTables>
    <pivotTable tabId="2" name="PivotTable1"/>
  </pivotTables>
  <data>
    <tabular pivotCacheId="35466887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45817D-0538-4A57-A3FE-79FBAAC4219D}" sourceName="Category">
  <pivotTables>
    <pivotTable tabId="3" name="PivotTable2"/>
  </pivotTables>
  <data>
    <tabular pivotCacheId="35466887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2A181921-8970-48CE-9C97-BC4DF080FE49}" sourceName="Order Year">
  <pivotTables>
    <pivotTable tabId="5" name="PivotTable4"/>
  </pivotTables>
  <data>
    <tabular pivotCacheId="35466887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3B9C31-516A-4A69-B0BC-F34347AD1C4F}" cache="Slicer_Region" caption="Region" rowHeight="234950"/>
  <slicer name="Category" xr10:uid="{C0659FFF-5AB8-41DE-AA4B-735AD5377074}" cache="Slicer_Category" caption="Category" rowHeight="234950"/>
  <slicer name="Order Year" xr10:uid="{E78758C2-CFF1-4D4C-AEC4-60DD00222EA5}" cache="Slicer_Order_Year" caption="Order 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7436-B03A-46D9-AF46-3B775FC74FCF}">
  <dimension ref="A3:C8"/>
  <sheetViews>
    <sheetView workbookViewId="0">
      <selection activeCell="A5" sqref="A5"/>
    </sheetView>
  </sheetViews>
  <sheetFormatPr defaultRowHeight="14.4" x14ac:dyDescent="0.3"/>
  <cols>
    <col min="1" max="1" width="12.5546875" bestFit="1" customWidth="1"/>
    <col min="2" max="2" width="11.6640625" bestFit="1" customWidth="1"/>
    <col min="3" max="3" width="15.88671875" bestFit="1" customWidth="1"/>
  </cols>
  <sheetData>
    <row r="3" spans="1:3" x14ac:dyDescent="0.3">
      <c r="A3" s="13" t="s">
        <v>1720</v>
      </c>
      <c r="B3" t="s">
        <v>1722</v>
      </c>
      <c r="C3" t="s">
        <v>1737</v>
      </c>
    </row>
    <row r="4" spans="1:3" x14ac:dyDescent="0.3">
      <c r="A4" s="14" t="s">
        <v>101</v>
      </c>
      <c r="B4" s="15">
        <v>45502.307599999978</v>
      </c>
      <c r="C4" s="15">
        <v>135</v>
      </c>
    </row>
    <row r="5" spans="1:3" x14ac:dyDescent="0.3">
      <c r="A5" s="14" t="s">
        <v>144</v>
      </c>
      <c r="B5" s="15">
        <v>33797.924000000014</v>
      </c>
      <c r="C5" s="15">
        <v>156</v>
      </c>
    </row>
    <row r="6" spans="1:3" x14ac:dyDescent="0.3">
      <c r="A6" s="14" t="s">
        <v>26</v>
      </c>
      <c r="B6" s="15">
        <v>12344.447499999998</v>
      </c>
      <c r="C6" s="15">
        <v>55</v>
      </c>
    </row>
    <row r="7" spans="1:3" x14ac:dyDescent="0.3">
      <c r="A7" s="14" t="s">
        <v>40</v>
      </c>
      <c r="B7" s="15">
        <v>37712.33699999997</v>
      </c>
      <c r="C7" s="15">
        <v>153</v>
      </c>
    </row>
    <row r="8" spans="1:3" x14ac:dyDescent="0.3">
      <c r="A8" s="14" t="s">
        <v>1721</v>
      </c>
      <c r="B8" s="15">
        <v>129357.01609999989</v>
      </c>
      <c r="C8" s="15">
        <v>499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1006-54DF-4BF6-BA22-61CC937440A7}">
  <dimension ref="A3:C7"/>
  <sheetViews>
    <sheetView workbookViewId="0">
      <selection activeCell="B5" sqref="B5"/>
    </sheetView>
  </sheetViews>
  <sheetFormatPr defaultRowHeight="14.4" x14ac:dyDescent="0.3"/>
  <cols>
    <col min="1" max="1" width="15.5546875" bestFit="1" customWidth="1"/>
    <col min="2" max="2" width="12" bestFit="1" customWidth="1"/>
    <col min="3" max="3" width="15.88671875" bestFit="1" customWidth="1"/>
  </cols>
  <sheetData>
    <row r="3" spans="1:3" x14ac:dyDescent="0.3">
      <c r="A3" s="13" t="s">
        <v>1720</v>
      </c>
      <c r="B3" t="s">
        <v>1722</v>
      </c>
      <c r="C3" t="s">
        <v>1737</v>
      </c>
    </row>
    <row r="4" spans="1:3" x14ac:dyDescent="0.3">
      <c r="A4" s="14" t="s">
        <v>28</v>
      </c>
      <c r="B4">
        <v>45847.610099999976</v>
      </c>
      <c r="C4">
        <v>109</v>
      </c>
    </row>
    <row r="5" spans="1:3" x14ac:dyDescent="0.3">
      <c r="A5" s="14" t="s">
        <v>42</v>
      </c>
      <c r="B5">
        <v>31467.874999999967</v>
      </c>
      <c r="C5">
        <v>293</v>
      </c>
    </row>
    <row r="6" spans="1:3" x14ac:dyDescent="0.3">
      <c r="A6" s="14" t="s">
        <v>67</v>
      </c>
      <c r="B6">
        <v>52041.53100000001</v>
      </c>
      <c r="C6">
        <v>97</v>
      </c>
    </row>
    <row r="7" spans="1:3" x14ac:dyDescent="0.3">
      <c r="A7" s="14" t="s">
        <v>1721</v>
      </c>
      <c r="B7">
        <v>129357.01609999991</v>
      </c>
      <c r="C7">
        <v>499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DFFE-A8BE-4B72-877C-0936FD02FF10}">
  <dimension ref="A3:B7"/>
  <sheetViews>
    <sheetView workbookViewId="0">
      <selection activeCell="B4" sqref="B4"/>
    </sheetView>
  </sheetViews>
  <sheetFormatPr defaultRowHeight="14.4" x14ac:dyDescent="0.3"/>
  <cols>
    <col min="1" max="1" width="12.5546875" bestFit="1" customWidth="1"/>
    <col min="2" max="2" width="12" bestFit="1" customWidth="1"/>
  </cols>
  <sheetData>
    <row r="3" spans="1:2" x14ac:dyDescent="0.3">
      <c r="A3" s="13" t="s">
        <v>1720</v>
      </c>
      <c r="B3" t="s">
        <v>1722</v>
      </c>
    </row>
    <row r="4" spans="1:2" x14ac:dyDescent="0.3">
      <c r="A4" s="14" t="s">
        <v>22</v>
      </c>
      <c r="B4">
        <v>69852.239599999972</v>
      </c>
    </row>
    <row r="5" spans="1:2" x14ac:dyDescent="0.3">
      <c r="A5" s="14" t="s">
        <v>37</v>
      </c>
      <c r="B5">
        <v>32323.846799999988</v>
      </c>
    </row>
    <row r="6" spans="1:2" x14ac:dyDescent="0.3">
      <c r="A6" s="14" t="s">
        <v>98</v>
      </c>
      <c r="B6">
        <v>27180.929699999997</v>
      </c>
    </row>
    <row r="7" spans="1:2" x14ac:dyDescent="0.3">
      <c r="A7" s="14" t="s">
        <v>1721</v>
      </c>
      <c r="B7">
        <v>129357.01609999995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1AF37-BFC3-46F7-9B60-8DCB80D5C9C4}">
  <dimension ref="A3:B16"/>
  <sheetViews>
    <sheetView workbookViewId="0">
      <selection activeCell="B17" sqref="B17"/>
    </sheetView>
  </sheetViews>
  <sheetFormatPr defaultRowHeight="14.4" x14ac:dyDescent="0.3"/>
  <cols>
    <col min="1" max="1" width="12.5546875" bestFit="1" customWidth="1"/>
    <col min="2" max="2" width="11.6640625" bestFit="1" customWidth="1"/>
  </cols>
  <sheetData>
    <row r="3" spans="1:2" x14ac:dyDescent="0.3">
      <c r="A3" s="13" t="s">
        <v>1720</v>
      </c>
      <c r="B3" t="s">
        <v>1722</v>
      </c>
    </row>
    <row r="4" spans="1:2" x14ac:dyDescent="0.3">
      <c r="A4" s="14" t="s">
        <v>1723</v>
      </c>
      <c r="B4">
        <v>2488.3240000000001</v>
      </c>
    </row>
    <row r="5" spans="1:2" x14ac:dyDescent="0.3">
      <c r="A5" s="14" t="s">
        <v>1724</v>
      </c>
      <c r="B5">
        <v>861.36200000000008</v>
      </c>
    </row>
    <row r="6" spans="1:2" x14ac:dyDescent="0.3">
      <c r="A6" s="14" t="s">
        <v>1725</v>
      </c>
      <c r="B6">
        <v>2774.3328000000001</v>
      </c>
    </row>
    <row r="7" spans="1:2" x14ac:dyDescent="0.3">
      <c r="A7" s="14" t="s">
        <v>1726</v>
      </c>
      <c r="B7">
        <v>8681.1585000000014</v>
      </c>
    </row>
    <row r="8" spans="1:2" x14ac:dyDescent="0.3">
      <c r="A8" s="14" t="s">
        <v>1727</v>
      </c>
      <c r="B8">
        <v>814.97399999999993</v>
      </c>
    </row>
    <row r="9" spans="1:2" x14ac:dyDescent="0.3">
      <c r="A9" s="14" t="s">
        <v>1728</v>
      </c>
      <c r="B9">
        <v>14645.988999999998</v>
      </c>
    </row>
    <row r="10" spans="1:2" x14ac:dyDescent="0.3">
      <c r="A10" s="14" t="s">
        <v>1729</v>
      </c>
      <c r="B10">
        <v>3601.7880000000005</v>
      </c>
    </row>
    <row r="11" spans="1:2" x14ac:dyDescent="0.3">
      <c r="A11" s="14" t="s">
        <v>1730</v>
      </c>
      <c r="B11">
        <v>5941.8580000000002</v>
      </c>
    </row>
    <row r="12" spans="1:2" x14ac:dyDescent="0.3">
      <c r="A12" s="14" t="s">
        <v>1731</v>
      </c>
      <c r="B12">
        <v>41174.699599999993</v>
      </c>
    </row>
    <row r="13" spans="1:2" x14ac:dyDescent="0.3">
      <c r="A13" s="14" t="s">
        <v>1732</v>
      </c>
      <c r="B13">
        <v>10674.363499999999</v>
      </c>
    </row>
    <row r="14" spans="1:2" x14ac:dyDescent="0.3">
      <c r="A14" s="14" t="s">
        <v>1733</v>
      </c>
      <c r="B14">
        <v>15764.404500000004</v>
      </c>
    </row>
    <row r="15" spans="1:2" x14ac:dyDescent="0.3">
      <c r="A15" s="14" t="s">
        <v>1734</v>
      </c>
      <c r="B15">
        <v>21933.762200000001</v>
      </c>
    </row>
    <row r="16" spans="1:2" x14ac:dyDescent="0.3">
      <c r="A16" s="14" t="s">
        <v>1721</v>
      </c>
      <c r="B16" s="15">
        <v>129357.01610000001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3925-205F-420A-AB0E-D263A260D660}">
  <dimension ref="A3:D8"/>
  <sheetViews>
    <sheetView workbookViewId="0">
      <selection activeCell="B4" sqref="B4"/>
    </sheetView>
  </sheetViews>
  <sheetFormatPr defaultRowHeight="14.4" x14ac:dyDescent="0.3"/>
  <cols>
    <col min="1" max="1" width="12.77734375" bestFit="1" customWidth="1"/>
    <col min="2" max="2" width="12" bestFit="1" customWidth="1"/>
    <col min="3" max="3" width="15.88671875" bestFit="1" customWidth="1"/>
    <col min="4" max="4" width="22.109375" bestFit="1" customWidth="1"/>
  </cols>
  <sheetData>
    <row r="3" spans="1:4" x14ac:dyDescent="0.3">
      <c r="A3" s="13" t="s">
        <v>1720</v>
      </c>
      <c r="B3" t="s">
        <v>1722</v>
      </c>
      <c r="C3" t="s">
        <v>1737</v>
      </c>
      <c r="D3" t="s">
        <v>1744</v>
      </c>
    </row>
    <row r="4" spans="1:4" x14ac:dyDescent="0.3">
      <c r="A4" s="14" t="s">
        <v>184</v>
      </c>
      <c r="B4">
        <v>19177.381000000001</v>
      </c>
      <c r="C4">
        <v>84</v>
      </c>
      <c r="D4" s="16">
        <v>2.1428571428571428</v>
      </c>
    </row>
    <row r="5" spans="1:4" x14ac:dyDescent="0.3">
      <c r="A5" s="14" t="s">
        <v>1289</v>
      </c>
      <c r="B5">
        <v>1179.27</v>
      </c>
      <c r="C5">
        <v>4</v>
      </c>
      <c r="D5" s="16">
        <v>0</v>
      </c>
    </row>
    <row r="6" spans="1:4" x14ac:dyDescent="0.3">
      <c r="A6" s="14" t="s">
        <v>19</v>
      </c>
      <c r="B6">
        <v>32906.465599999989</v>
      </c>
      <c r="C6">
        <v>126</v>
      </c>
      <c r="D6" s="16">
        <v>3.2301587301587302</v>
      </c>
    </row>
    <row r="7" spans="1:4" x14ac:dyDescent="0.3">
      <c r="A7" s="14" t="s">
        <v>46</v>
      </c>
      <c r="B7">
        <v>76093.899500000058</v>
      </c>
      <c r="C7">
        <v>285</v>
      </c>
      <c r="D7" s="16">
        <v>5.098245614035088</v>
      </c>
    </row>
    <row r="8" spans="1:4" x14ac:dyDescent="0.3">
      <c r="A8" s="14" t="s">
        <v>1721</v>
      </c>
      <c r="B8">
        <v>129357.01609999988</v>
      </c>
      <c r="C8">
        <v>499</v>
      </c>
      <c r="D8" s="16">
        <v>4.0881763527054105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276F6-1C06-4C7C-A954-569C464B7F69}">
  <dimension ref="A3:B14"/>
  <sheetViews>
    <sheetView workbookViewId="0">
      <selection activeCell="A12" sqref="A4:A12"/>
    </sheetView>
  </sheetViews>
  <sheetFormatPr defaultRowHeight="14.4" x14ac:dyDescent="0.3"/>
  <cols>
    <col min="1" max="1" width="15" bestFit="1" customWidth="1"/>
    <col min="2" max="2" width="11.6640625" bestFit="1" customWidth="1"/>
  </cols>
  <sheetData>
    <row r="3" spans="1:2" x14ac:dyDescent="0.3">
      <c r="A3" s="13" t="s">
        <v>1720</v>
      </c>
      <c r="B3" t="s">
        <v>1722</v>
      </c>
    </row>
    <row r="4" spans="1:2" x14ac:dyDescent="0.3">
      <c r="A4" s="14" t="s">
        <v>1676</v>
      </c>
      <c r="B4" s="15">
        <v>2735.9520000000002</v>
      </c>
    </row>
    <row r="5" spans="1:2" x14ac:dyDescent="0.3">
      <c r="A5" s="14" t="s">
        <v>945</v>
      </c>
      <c r="B5" s="15">
        <v>3354.98</v>
      </c>
    </row>
    <row r="6" spans="1:2" x14ac:dyDescent="0.3">
      <c r="A6" s="14" t="s">
        <v>59</v>
      </c>
      <c r="B6" s="15">
        <v>3714.3040000000001</v>
      </c>
    </row>
    <row r="7" spans="1:2" x14ac:dyDescent="0.3">
      <c r="A7" s="14" t="s">
        <v>930</v>
      </c>
      <c r="B7" s="15">
        <v>3745.63</v>
      </c>
    </row>
    <row r="8" spans="1:2" x14ac:dyDescent="0.3">
      <c r="A8" s="14" t="s">
        <v>161</v>
      </c>
      <c r="B8" s="15">
        <v>3761.1480000000006</v>
      </c>
    </row>
    <row r="9" spans="1:2" x14ac:dyDescent="0.3">
      <c r="A9" s="14" t="s">
        <v>1432</v>
      </c>
      <c r="B9" s="15">
        <v>3955.5070000000005</v>
      </c>
    </row>
    <row r="10" spans="1:2" x14ac:dyDescent="0.3">
      <c r="A10" s="14" t="s">
        <v>1249</v>
      </c>
      <c r="B10" s="15">
        <v>4438.6859999999997</v>
      </c>
    </row>
    <row r="11" spans="1:2" x14ac:dyDescent="0.3">
      <c r="A11" s="14" t="s">
        <v>1162</v>
      </c>
      <c r="B11" s="15">
        <v>4807.3719999999994</v>
      </c>
    </row>
    <row r="12" spans="1:2" x14ac:dyDescent="0.3">
      <c r="A12" s="14" t="s">
        <v>979</v>
      </c>
      <c r="B12" s="15">
        <v>5579.9400000000005</v>
      </c>
    </row>
    <row r="13" spans="1:2" x14ac:dyDescent="0.3">
      <c r="A13" s="14" t="s">
        <v>675</v>
      </c>
      <c r="B13" s="15">
        <v>10539.896000000001</v>
      </c>
    </row>
    <row r="14" spans="1:2" x14ac:dyDescent="0.3">
      <c r="A14" s="14" t="s">
        <v>1721</v>
      </c>
      <c r="B14" s="15">
        <v>46633.415000000001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6E06-09AD-4138-8A1E-C0E0766856DA}">
  <dimension ref="V2:W5"/>
  <sheetViews>
    <sheetView zoomScale="88" workbookViewId="0">
      <selection activeCell="T28" sqref="T28"/>
    </sheetView>
  </sheetViews>
  <sheetFormatPr defaultRowHeight="14.4" x14ac:dyDescent="0.3"/>
  <cols>
    <col min="18" max="18" width="11.33203125" customWidth="1"/>
    <col min="19" max="19" width="15.77734375" bestFit="1" customWidth="1"/>
    <col min="20" max="20" width="12" bestFit="1" customWidth="1"/>
    <col min="21" max="21" width="9.5546875" bestFit="1" customWidth="1"/>
    <col min="22" max="22" width="15.33203125" customWidth="1"/>
    <col min="23" max="23" width="9.5546875" bestFit="1" customWidth="1"/>
  </cols>
  <sheetData>
    <row r="2" spans="22:23" x14ac:dyDescent="0.3">
      <c r="V2" t="s">
        <v>1735</v>
      </c>
      <c r="W2" s="15">
        <f>GETPIVOTDATA("Sales",'PT Region'!$A$3)</f>
        <v>129357.01609999989</v>
      </c>
    </row>
    <row r="3" spans="22:23" x14ac:dyDescent="0.3">
      <c r="V3" t="s">
        <v>1736</v>
      </c>
      <c r="W3">
        <f>GETPIVOTDATA("Count of Order ID",'PT Category'!$A$3)</f>
        <v>499</v>
      </c>
    </row>
    <row r="4" spans="22:23" x14ac:dyDescent="0.3">
      <c r="V4" t="s">
        <v>1738</v>
      </c>
      <c r="W4" s="15">
        <f>W2/W3</f>
        <v>259.23249719438854</v>
      </c>
    </row>
    <row r="5" spans="22:23" x14ac:dyDescent="0.3">
      <c r="V5" t="s">
        <v>1739</v>
      </c>
      <c r="W5" s="16">
        <f>AVERAGE(SuperstoreSALES!G2:G500)</f>
        <v>4.0881763527054105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6C40-A430-4FB0-8B21-714E0442C98B}">
  <dimension ref="A1:C16"/>
  <sheetViews>
    <sheetView workbookViewId="0">
      <selection activeCell="I8" sqref="I8"/>
    </sheetView>
  </sheetViews>
  <sheetFormatPr defaultRowHeight="14.4" x14ac:dyDescent="0.3"/>
  <sheetData>
    <row r="1" spans="1:3" ht="25.8" customHeight="1" x14ac:dyDescent="0.3">
      <c r="A1" t="s">
        <v>1740</v>
      </c>
    </row>
    <row r="2" spans="1:3" ht="25.8" customHeight="1" x14ac:dyDescent="0.3">
      <c r="A2" t="s">
        <v>1741</v>
      </c>
    </row>
    <row r="3" spans="1:3" ht="25.8" customHeight="1" x14ac:dyDescent="0.3">
      <c r="A3" t="s">
        <v>1742</v>
      </c>
    </row>
    <row r="4" spans="1:3" ht="25.8" customHeight="1" x14ac:dyDescent="0.3">
      <c r="A4" s="19" t="s">
        <v>1743</v>
      </c>
      <c r="B4" s="19"/>
      <c r="C4" s="19"/>
    </row>
    <row r="5" spans="1:3" ht="25.8" customHeight="1" x14ac:dyDescent="0.3">
      <c r="A5" t="s">
        <v>1746</v>
      </c>
    </row>
    <row r="6" spans="1:3" ht="25.8" customHeight="1" x14ac:dyDescent="0.3">
      <c r="A6" t="s">
        <v>1745</v>
      </c>
    </row>
    <row r="7" spans="1:3" x14ac:dyDescent="0.3">
      <c r="A7" s="17" t="s">
        <v>675</v>
      </c>
    </row>
    <row r="8" spans="1:3" x14ac:dyDescent="0.3">
      <c r="A8" s="18" t="s">
        <v>979</v>
      </c>
    </row>
    <row r="9" spans="1:3" x14ac:dyDescent="0.3">
      <c r="A9" s="18" t="s">
        <v>1162</v>
      </c>
    </row>
    <row r="10" spans="1:3" x14ac:dyDescent="0.3">
      <c r="A10" s="18" t="s">
        <v>1249</v>
      </c>
    </row>
    <row r="11" spans="1:3" x14ac:dyDescent="0.3">
      <c r="A11" s="18" t="s">
        <v>1432</v>
      </c>
    </row>
    <row r="12" spans="1:3" x14ac:dyDescent="0.3">
      <c r="A12" s="18" t="s">
        <v>161</v>
      </c>
    </row>
    <row r="13" spans="1:3" x14ac:dyDescent="0.3">
      <c r="A13" s="18" t="s">
        <v>930</v>
      </c>
    </row>
    <row r="14" spans="1:3" x14ac:dyDescent="0.3">
      <c r="A14" s="18" t="s">
        <v>59</v>
      </c>
    </row>
    <row r="15" spans="1:3" x14ac:dyDescent="0.3">
      <c r="A15" s="18" t="s">
        <v>945</v>
      </c>
    </row>
    <row r="16" spans="1:3" x14ac:dyDescent="0.3">
      <c r="A16" s="18" t="s">
        <v>1676</v>
      </c>
    </row>
  </sheetData>
  <mergeCells count="1">
    <mergeCell ref="A4:C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E371-92A7-41D2-9282-126973EFCCA7}">
  <dimension ref="A1:U500"/>
  <sheetViews>
    <sheetView tabSelected="1" workbookViewId="0">
      <selection activeCell="E10" sqref="E10"/>
    </sheetView>
  </sheetViews>
  <sheetFormatPr defaultRowHeight="14.4" x14ac:dyDescent="0.3"/>
  <cols>
    <col min="1" max="1" width="6.88671875" bestFit="1" customWidth="1"/>
    <col min="2" max="2" width="14.6640625" bestFit="1" customWidth="1"/>
    <col min="3" max="3" width="10.33203125" bestFit="1" customWidth="1"/>
    <col min="4" max="4" width="12" bestFit="1" customWidth="1"/>
    <col min="5" max="5" width="12" customWidth="1"/>
    <col min="6" max="6" width="10.33203125" bestFit="1" customWidth="1"/>
    <col min="7" max="7" width="12.21875" bestFit="1" customWidth="1"/>
    <col min="8" max="8" width="12.6640625" bestFit="1" customWidth="1"/>
    <col min="9" max="9" width="11.33203125" bestFit="1" customWidth="1"/>
    <col min="10" max="10" width="19.6640625" bestFit="1" customWidth="1"/>
    <col min="11" max="11" width="11.33203125" bestFit="1" customWidth="1"/>
    <col min="12" max="12" width="11.88671875" bestFit="1" customWidth="1"/>
    <col min="13" max="13" width="15.5546875" bestFit="1" customWidth="1"/>
    <col min="14" max="14" width="13.109375" bestFit="1" customWidth="1"/>
    <col min="15" max="15" width="10.88671875" bestFit="1" customWidth="1"/>
    <col min="16" max="16" width="6.88671875" bestFit="1" customWidth="1"/>
    <col min="17" max="17" width="16.33203125" bestFit="1" customWidth="1"/>
    <col min="18" max="18" width="13.109375" bestFit="1" customWidth="1"/>
    <col min="19" max="19" width="12.44140625" bestFit="1" customWidth="1"/>
    <col min="20" max="20" width="90.33203125" bestFit="1" customWidth="1"/>
    <col min="21" max="21" width="10" bestFit="1" customWidth="1"/>
  </cols>
  <sheetData>
    <row r="1" spans="1:21" x14ac:dyDescent="0.3">
      <c r="A1" s="1" t="s">
        <v>0</v>
      </c>
      <c r="B1" s="2" t="s">
        <v>1</v>
      </c>
      <c r="C1" s="2" t="s">
        <v>2</v>
      </c>
      <c r="D1" s="2" t="s">
        <v>1718</v>
      </c>
      <c r="E1" s="2" t="s">
        <v>1719</v>
      </c>
      <c r="F1" s="2" t="s">
        <v>3</v>
      </c>
      <c r="G1" s="2" t="s">
        <v>1717</v>
      </c>
      <c r="H1" s="2" t="s">
        <v>4</v>
      </c>
      <c r="I1" s="2" t="s">
        <v>5</v>
      </c>
      <c r="J1" s="2" t="s">
        <v>6</v>
      </c>
      <c r="K1" s="2" t="s">
        <v>7</v>
      </c>
      <c r="L1" s="2" t="s">
        <v>8</v>
      </c>
      <c r="M1" s="2" t="s">
        <v>9</v>
      </c>
      <c r="N1" s="2" t="s">
        <v>10</v>
      </c>
      <c r="O1" s="2" t="s">
        <v>11</v>
      </c>
      <c r="P1" s="2" t="s">
        <v>12</v>
      </c>
      <c r="Q1" s="2" t="s">
        <v>13</v>
      </c>
      <c r="R1" s="2" t="s">
        <v>14</v>
      </c>
      <c r="S1" s="2" t="s">
        <v>15</v>
      </c>
      <c r="T1" s="2" t="s">
        <v>16</v>
      </c>
      <c r="U1" s="3" t="s">
        <v>17</v>
      </c>
    </row>
    <row r="2" spans="1:21" x14ac:dyDescent="0.3">
      <c r="A2" s="4">
        <v>1</v>
      </c>
      <c r="B2" s="5" t="s">
        <v>18</v>
      </c>
      <c r="C2" s="6">
        <v>43047</v>
      </c>
      <c r="D2" s="6" t="str">
        <f>TEXT(C2,"MMM")</f>
        <v>Nov</v>
      </c>
      <c r="E2" s="12">
        <f>YEAR(C2)</f>
        <v>2017</v>
      </c>
      <c r="F2" s="6">
        <v>43050</v>
      </c>
      <c r="G2" s="12">
        <f>DATEDIF(C2,F2,"D")</f>
        <v>3</v>
      </c>
      <c r="H2" s="5" t="s">
        <v>19</v>
      </c>
      <c r="I2" s="5" t="s">
        <v>20</v>
      </c>
      <c r="J2" s="5" t="s">
        <v>21</v>
      </c>
      <c r="K2" s="5" t="s">
        <v>22</v>
      </c>
      <c r="L2" s="5" t="s">
        <v>23</v>
      </c>
      <c r="M2" s="5" t="s">
        <v>24</v>
      </c>
      <c r="N2" s="5" t="s">
        <v>25</v>
      </c>
      <c r="O2" s="5">
        <v>42420</v>
      </c>
      <c r="P2" s="5" t="s">
        <v>26</v>
      </c>
      <c r="Q2" s="5" t="s">
        <v>27</v>
      </c>
      <c r="R2" s="5" t="s">
        <v>28</v>
      </c>
      <c r="S2" s="5" t="s">
        <v>29</v>
      </c>
      <c r="T2" s="5" t="s">
        <v>30</v>
      </c>
      <c r="U2" s="7">
        <v>261.95999999999998</v>
      </c>
    </row>
    <row r="3" spans="1:21" x14ac:dyDescent="0.3">
      <c r="A3" s="8">
        <v>2</v>
      </c>
      <c r="B3" s="9" t="s">
        <v>18</v>
      </c>
      <c r="C3" s="10">
        <v>43047</v>
      </c>
      <c r="D3" s="6" t="str">
        <f t="shared" ref="D3:D66" si="0">TEXT(C3,"MMM")</f>
        <v>Nov</v>
      </c>
      <c r="E3" s="12">
        <f t="shared" ref="E3:E66" si="1">YEAR(C3)</f>
        <v>2017</v>
      </c>
      <c r="F3" s="10">
        <v>43050</v>
      </c>
      <c r="G3" s="12">
        <f t="shared" ref="G3:G66" si="2">DATEDIF(C3,F3,"D")</f>
        <v>3</v>
      </c>
      <c r="H3" s="9" t="s">
        <v>19</v>
      </c>
      <c r="I3" s="9" t="s">
        <v>20</v>
      </c>
      <c r="J3" s="9" t="s">
        <v>21</v>
      </c>
      <c r="K3" s="9" t="s">
        <v>22</v>
      </c>
      <c r="L3" s="9" t="s">
        <v>23</v>
      </c>
      <c r="M3" s="9" t="s">
        <v>24</v>
      </c>
      <c r="N3" s="9" t="s">
        <v>25</v>
      </c>
      <c r="O3" s="9">
        <v>42420</v>
      </c>
      <c r="P3" s="9" t="s">
        <v>26</v>
      </c>
      <c r="Q3" s="9" t="s">
        <v>31</v>
      </c>
      <c r="R3" s="9" t="s">
        <v>28</v>
      </c>
      <c r="S3" s="9" t="s">
        <v>32</v>
      </c>
      <c r="T3" s="9" t="s">
        <v>33</v>
      </c>
      <c r="U3" s="11">
        <v>731.94</v>
      </c>
    </row>
    <row r="4" spans="1:21" x14ac:dyDescent="0.3">
      <c r="A4" s="4">
        <v>3</v>
      </c>
      <c r="B4" s="5" t="s">
        <v>34</v>
      </c>
      <c r="C4" s="6">
        <v>42898</v>
      </c>
      <c r="D4" s="6" t="str">
        <f t="shared" si="0"/>
        <v>Jun</v>
      </c>
      <c r="E4" s="12">
        <f t="shared" si="1"/>
        <v>2017</v>
      </c>
      <c r="F4" s="6">
        <v>42902</v>
      </c>
      <c r="G4" s="12">
        <f t="shared" si="2"/>
        <v>4</v>
      </c>
      <c r="H4" s="5" t="s">
        <v>19</v>
      </c>
      <c r="I4" s="5" t="s">
        <v>35</v>
      </c>
      <c r="J4" s="5" t="s">
        <v>36</v>
      </c>
      <c r="K4" s="5" t="s">
        <v>37</v>
      </c>
      <c r="L4" s="5" t="s">
        <v>23</v>
      </c>
      <c r="M4" s="5" t="s">
        <v>38</v>
      </c>
      <c r="N4" s="5" t="s">
        <v>39</v>
      </c>
      <c r="O4" s="5">
        <v>90036</v>
      </c>
      <c r="P4" s="5" t="s">
        <v>40</v>
      </c>
      <c r="Q4" s="5" t="s">
        <v>41</v>
      </c>
      <c r="R4" s="5" t="s">
        <v>42</v>
      </c>
      <c r="S4" s="5" t="s">
        <v>43</v>
      </c>
      <c r="T4" s="5" t="s">
        <v>44</v>
      </c>
      <c r="U4" s="7">
        <v>14.62</v>
      </c>
    </row>
    <row r="5" spans="1:21" x14ac:dyDescent="0.3">
      <c r="A5" s="8">
        <v>4</v>
      </c>
      <c r="B5" s="9" t="s">
        <v>45</v>
      </c>
      <c r="C5" s="10">
        <v>42654</v>
      </c>
      <c r="D5" s="6" t="str">
        <f t="shared" si="0"/>
        <v>Oct</v>
      </c>
      <c r="E5" s="12">
        <f t="shared" si="1"/>
        <v>2016</v>
      </c>
      <c r="F5" s="10">
        <v>42661</v>
      </c>
      <c r="G5" s="12">
        <f t="shared" si="2"/>
        <v>7</v>
      </c>
      <c r="H5" s="9" t="s">
        <v>46</v>
      </c>
      <c r="I5" s="9" t="s">
        <v>47</v>
      </c>
      <c r="J5" s="9" t="s">
        <v>48</v>
      </c>
      <c r="K5" s="9" t="s">
        <v>22</v>
      </c>
      <c r="L5" s="9" t="s">
        <v>23</v>
      </c>
      <c r="M5" s="9" t="s">
        <v>49</v>
      </c>
      <c r="N5" s="9" t="s">
        <v>50</v>
      </c>
      <c r="O5" s="9">
        <v>33311</v>
      </c>
      <c r="P5" s="9" t="s">
        <v>26</v>
      </c>
      <c r="Q5" s="9" t="s">
        <v>51</v>
      </c>
      <c r="R5" s="9" t="s">
        <v>28</v>
      </c>
      <c r="S5" s="9" t="s">
        <v>52</v>
      </c>
      <c r="T5" s="9" t="s">
        <v>53</v>
      </c>
      <c r="U5" s="11">
        <v>957.57749999999999</v>
      </c>
    </row>
    <row r="6" spans="1:21" x14ac:dyDescent="0.3">
      <c r="A6" s="4">
        <v>5</v>
      </c>
      <c r="B6" s="5" t="s">
        <v>45</v>
      </c>
      <c r="C6" s="6">
        <v>42654</v>
      </c>
      <c r="D6" s="6" t="str">
        <f t="shared" si="0"/>
        <v>Oct</v>
      </c>
      <c r="E6" s="12">
        <f t="shared" si="1"/>
        <v>2016</v>
      </c>
      <c r="F6" s="6">
        <v>42661</v>
      </c>
      <c r="G6" s="12">
        <f t="shared" si="2"/>
        <v>7</v>
      </c>
      <c r="H6" s="5" t="s">
        <v>46</v>
      </c>
      <c r="I6" s="5" t="s">
        <v>47</v>
      </c>
      <c r="J6" s="5" t="s">
        <v>48</v>
      </c>
      <c r="K6" s="5" t="s">
        <v>22</v>
      </c>
      <c r="L6" s="5" t="s">
        <v>23</v>
      </c>
      <c r="M6" s="5" t="s">
        <v>49</v>
      </c>
      <c r="N6" s="5" t="s">
        <v>50</v>
      </c>
      <c r="O6" s="5">
        <v>33311</v>
      </c>
      <c r="P6" s="5" t="s">
        <v>26</v>
      </c>
      <c r="Q6" s="5" t="s">
        <v>54</v>
      </c>
      <c r="R6" s="5" t="s">
        <v>42</v>
      </c>
      <c r="S6" s="5" t="s">
        <v>55</v>
      </c>
      <c r="T6" s="5" t="s">
        <v>56</v>
      </c>
      <c r="U6" s="7">
        <v>22.367999999999999</v>
      </c>
    </row>
    <row r="7" spans="1:21" x14ac:dyDescent="0.3">
      <c r="A7" s="8">
        <v>6</v>
      </c>
      <c r="B7" s="9" t="s">
        <v>57</v>
      </c>
      <c r="C7" s="10">
        <v>42164</v>
      </c>
      <c r="D7" s="6" t="str">
        <f t="shared" si="0"/>
        <v>Jun</v>
      </c>
      <c r="E7" s="12">
        <f t="shared" si="1"/>
        <v>2015</v>
      </c>
      <c r="F7" s="10">
        <v>42169</v>
      </c>
      <c r="G7" s="12">
        <f t="shared" si="2"/>
        <v>5</v>
      </c>
      <c r="H7" s="9" t="s">
        <v>46</v>
      </c>
      <c r="I7" s="9" t="s">
        <v>58</v>
      </c>
      <c r="J7" s="9" t="s">
        <v>59</v>
      </c>
      <c r="K7" s="9" t="s">
        <v>22</v>
      </c>
      <c r="L7" s="9" t="s">
        <v>23</v>
      </c>
      <c r="M7" s="9" t="s">
        <v>38</v>
      </c>
      <c r="N7" s="9" t="s">
        <v>39</v>
      </c>
      <c r="O7" s="9">
        <v>90032</v>
      </c>
      <c r="P7" s="9" t="s">
        <v>40</v>
      </c>
      <c r="Q7" s="9" t="s">
        <v>60</v>
      </c>
      <c r="R7" s="9" t="s">
        <v>28</v>
      </c>
      <c r="S7" s="9" t="s">
        <v>61</v>
      </c>
      <c r="T7" s="9" t="s">
        <v>62</v>
      </c>
      <c r="U7" s="11">
        <v>48.86</v>
      </c>
    </row>
    <row r="8" spans="1:21" x14ac:dyDescent="0.3">
      <c r="A8" s="4">
        <v>7</v>
      </c>
      <c r="B8" s="5" t="s">
        <v>57</v>
      </c>
      <c r="C8" s="6">
        <v>42164</v>
      </c>
      <c r="D8" s="6" t="str">
        <f t="shared" si="0"/>
        <v>Jun</v>
      </c>
      <c r="E8" s="12">
        <f t="shared" si="1"/>
        <v>2015</v>
      </c>
      <c r="F8" s="6">
        <v>42169</v>
      </c>
      <c r="G8" s="12">
        <f t="shared" si="2"/>
        <v>5</v>
      </c>
      <c r="H8" s="5" t="s">
        <v>46</v>
      </c>
      <c r="I8" s="5" t="s">
        <v>58</v>
      </c>
      <c r="J8" s="5" t="s">
        <v>59</v>
      </c>
      <c r="K8" s="5" t="s">
        <v>22</v>
      </c>
      <c r="L8" s="5" t="s">
        <v>23</v>
      </c>
      <c r="M8" s="5" t="s">
        <v>38</v>
      </c>
      <c r="N8" s="5" t="s">
        <v>39</v>
      </c>
      <c r="O8" s="5">
        <v>90032</v>
      </c>
      <c r="P8" s="5" t="s">
        <v>40</v>
      </c>
      <c r="Q8" s="5" t="s">
        <v>63</v>
      </c>
      <c r="R8" s="5" t="s">
        <v>42</v>
      </c>
      <c r="S8" s="5" t="s">
        <v>64</v>
      </c>
      <c r="T8" s="5" t="s">
        <v>65</v>
      </c>
      <c r="U8" s="7">
        <v>7.28</v>
      </c>
    </row>
    <row r="9" spans="1:21" x14ac:dyDescent="0.3">
      <c r="A9" s="8">
        <v>8</v>
      </c>
      <c r="B9" s="9" t="s">
        <v>57</v>
      </c>
      <c r="C9" s="10">
        <v>42164</v>
      </c>
      <c r="D9" s="6" t="str">
        <f t="shared" si="0"/>
        <v>Jun</v>
      </c>
      <c r="E9" s="12">
        <f t="shared" si="1"/>
        <v>2015</v>
      </c>
      <c r="F9" s="10">
        <v>42169</v>
      </c>
      <c r="G9" s="12">
        <f t="shared" si="2"/>
        <v>5</v>
      </c>
      <c r="H9" s="9" t="s">
        <v>46</v>
      </c>
      <c r="I9" s="9" t="s">
        <v>58</v>
      </c>
      <c r="J9" s="9" t="s">
        <v>59</v>
      </c>
      <c r="K9" s="9" t="s">
        <v>22</v>
      </c>
      <c r="L9" s="9" t="s">
        <v>23</v>
      </c>
      <c r="M9" s="9" t="s">
        <v>38</v>
      </c>
      <c r="N9" s="9" t="s">
        <v>39</v>
      </c>
      <c r="O9" s="9">
        <v>90032</v>
      </c>
      <c r="P9" s="9" t="s">
        <v>40</v>
      </c>
      <c r="Q9" s="9" t="s">
        <v>66</v>
      </c>
      <c r="R9" s="9" t="s">
        <v>67</v>
      </c>
      <c r="S9" s="9" t="s">
        <v>68</v>
      </c>
      <c r="T9" s="9" t="s">
        <v>69</v>
      </c>
      <c r="U9" s="11">
        <v>907.15200000000004</v>
      </c>
    </row>
    <row r="10" spans="1:21" x14ac:dyDescent="0.3">
      <c r="A10" s="4">
        <v>9</v>
      </c>
      <c r="B10" s="5" t="s">
        <v>57</v>
      </c>
      <c r="C10" s="6">
        <v>42164</v>
      </c>
      <c r="D10" s="6" t="str">
        <f t="shared" si="0"/>
        <v>Jun</v>
      </c>
      <c r="E10" s="12">
        <f t="shared" si="1"/>
        <v>2015</v>
      </c>
      <c r="F10" s="6">
        <v>42169</v>
      </c>
      <c r="G10" s="12">
        <f t="shared" si="2"/>
        <v>5</v>
      </c>
      <c r="H10" s="5" t="s">
        <v>46</v>
      </c>
      <c r="I10" s="5" t="s">
        <v>58</v>
      </c>
      <c r="J10" s="5" t="s">
        <v>59</v>
      </c>
      <c r="K10" s="5" t="s">
        <v>22</v>
      </c>
      <c r="L10" s="5" t="s">
        <v>23</v>
      </c>
      <c r="M10" s="5" t="s">
        <v>38</v>
      </c>
      <c r="N10" s="5" t="s">
        <v>39</v>
      </c>
      <c r="O10" s="5">
        <v>90032</v>
      </c>
      <c r="P10" s="5" t="s">
        <v>40</v>
      </c>
      <c r="Q10" s="5" t="s">
        <v>70</v>
      </c>
      <c r="R10" s="5" t="s">
        <v>42</v>
      </c>
      <c r="S10" s="5" t="s">
        <v>71</v>
      </c>
      <c r="T10" s="5" t="s">
        <v>72</v>
      </c>
      <c r="U10" s="7">
        <v>18.504000000000001</v>
      </c>
    </row>
    <row r="11" spans="1:21" x14ac:dyDescent="0.3">
      <c r="A11" s="8">
        <v>10</v>
      </c>
      <c r="B11" s="9" t="s">
        <v>57</v>
      </c>
      <c r="C11" s="10">
        <v>42164</v>
      </c>
      <c r="D11" s="6" t="str">
        <f t="shared" si="0"/>
        <v>Jun</v>
      </c>
      <c r="E11" s="12">
        <f t="shared" si="1"/>
        <v>2015</v>
      </c>
      <c r="F11" s="10">
        <v>42169</v>
      </c>
      <c r="G11" s="12">
        <f t="shared" si="2"/>
        <v>5</v>
      </c>
      <c r="H11" s="9" t="s">
        <v>46</v>
      </c>
      <c r="I11" s="9" t="s">
        <v>58</v>
      </c>
      <c r="J11" s="9" t="s">
        <v>59</v>
      </c>
      <c r="K11" s="9" t="s">
        <v>22</v>
      </c>
      <c r="L11" s="9" t="s">
        <v>23</v>
      </c>
      <c r="M11" s="9" t="s">
        <v>38</v>
      </c>
      <c r="N11" s="9" t="s">
        <v>39</v>
      </c>
      <c r="O11" s="9">
        <v>90032</v>
      </c>
      <c r="P11" s="9" t="s">
        <v>40</v>
      </c>
      <c r="Q11" s="9" t="s">
        <v>73</v>
      </c>
      <c r="R11" s="9" t="s">
        <v>42</v>
      </c>
      <c r="S11" s="9" t="s">
        <v>74</v>
      </c>
      <c r="T11" s="9" t="s">
        <v>75</v>
      </c>
      <c r="U11" s="11">
        <v>114.9</v>
      </c>
    </row>
    <row r="12" spans="1:21" x14ac:dyDescent="0.3">
      <c r="A12" s="4">
        <v>11</v>
      </c>
      <c r="B12" s="5" t="s">
        <v>57</v>
      </c>
      <c r="C12" s="6">
        <v>42164</v>
      </c>
      <c r="D12" s="6" t="str">
        <f t="shared" si="0"/>
        <v>Jun</v>
      </c>
      <c r="E12" s="12">
        <f t="shared" si="1"/>
        <v>2015</v>
      </c>
      <c r="F12" s="6">
        <v>42169</v>
      </c>
      <c r="G12" s="12">
        <f t="shared" si="2"/>
        <v>5</v>
      </c>
      <c r="H12" s="5" t="s">
        <v>46</v>
      </c>
      <c r="I12" s="5" t="s">
        <v>58</v>
      </c>
      <c r="J12" s="5" t="s">
        <v>59</v>
      </c>
      <c r="K12" s="5" t="s">
        <v>22</v>
      </c>
      <c r="L12" s="5" t="s">
        <v>23</v>
      </c>
      <c r="M12" s="5" t="s">
        <v>38</v>
      </c>
      <c r="N12" s="5" t="s">
        <v>39</v>
      </c>
      <c r="O12" s="5">
        <v>90032</v>
      </c>
      <c r="P12" s="5" t="s">
        <v>40</v>
      </c>
      <c r="Q12" s="5" t="s">
        <v>76</v>
      </c>
      <c r="R12" s="5" t="s">
        <v>28</v>
      </c>
      <c r="S12" s="5" t="s">
        <v>52</v>
      </c>
      <c r="T12" s="5" t="s">
        <v>77</v>
      </c>
      <c r="U12" s="7">
        <v>1706.184</v>
      </c>
    </row>
    <row r="13" spans="1:21" x14ac:dyDescent="0.3">
      <c r="A13" s="8">
        <v>12</v>
      </c>
      <c r="B13" s="9" t="s">
        <v>57</v>
      </c>
      <c r="C13" s="10">
        <v>42164</v>
      </c>
      <c r="D13" s="6" t="str">
        <f t="shared" si="0"/>
        <v>Jun</v>
      </c>
      <c r="E13" s="12">
        <f t="shared" si="1"/>
        <v>2015</v>
      </c>
      <c r="F13" s="10">
        <v>42169</v>
      </c>
      <c r="G13" s="12">
        <f t="shared" si="2"/>
        <v>5</v>
      </c>
      <c r="H13" s="9" t="s">
        <v>46</v>
      </c>
      <c r="I13" s="9" t="s">
        <v>58</v>
      </c>
      <c r="J13" s="9" t="s">
        <v>59</v>
      </c>
      <c r="K13" s="9" t="s">
        <v>22</v>
      </c>
      <c r="L13" s="9" t="s">
        <v>23</v>
      </c>
      <c r="M13" s="9" t="s">
        <v>38</v>
      </c>
      <c r="N13" s="9" t="s">
        <v>39</v>
      </c>
      <c r="O13" s="9">
        <v>90032</v>
      </c>
      <c r="P13" s="9" t="s">
        <v>40</v>
      </c>
      <c r="Q13" s="9" t="s">
        <v>78</v>
      </c>
      <c r="R13" s="9" t="s">
        <v>67</v>
      </c>
      <c r="S13" s="9" t="s">
        <v>68</v>
      </c>
      <c r="T13" s="9" t="s">
        <v>79</v>
      </c>
      <c r="U13" s="11">
        <v>911.42399999999998</v>
      </c>
    </row>
    <row r="14" spans="1:21" x14ac:dyDescent="0.3">
      <c r="A14" s="4">
        <v>13</v>
      </c>
      <c r="B14" s="5" t="s">
        <v>80</v>
      </c>
      <c r="C14" s="6">
        <v>43205</v>
      </c>
      <c r="D14" s="6" t="str">
        <f t="shared" si="0"/>
        <v>Apr</v>
      </c>
      <c r="E14" s="12">
        <f t="shared" si="1"/>
        <v>2018</v>
      </c>
      <c r="F14" s="6">
        <v>43210</v>
      </c>
      <c r="G14" s="12">
        <f t="shared" si="2"/>
        <v>5</v>
      </c>
      <c r="H14" s="5" t="s">
        <v>46</v>
      </c>
      <c r="I14" s="5" t="s">
        <v>81</v>
      </c>
      <c r="J14" s="5" t="s">
        <v>82</v>
      </c>
      <c r="K14" s="5" t="s">
        <v>22</v>
      </c>
      <c r="L14" s="5" t="s">
        <v>23</v>
      </c>
      <c r="M14" s="5" t="s">
        <v>83</v>
      </c>
      <c r="N14" s="5" t="s">
        <v>84</v>
      </c>
      <c r="O14" s="5">
        <v>28027</v>
      </c>
      <c r="P14" s="5" t="s">
        <v>26</v>
      </c>
      <c r="Q14" s="5" t="s">
        <v>85</v>
      </c>
      <c r="R14" s="5" t="s">
        <v>42</v>
      </c>
      <c r="S14" s="5" t="s">
        <v>86</v>
      </c>
      <c r="T14" s="5" t="s">
        <v>87</v>
      </c>
      <c r="U14" s="7">
        <v>15.552</v>
      </c>
    </row>
    <row r="15" spans="1:21" x14ac:dyDescent="0.3">
      <c r="A15" s="8">
        <v>14</v>
      </c>
      <c r="B15" s="9" t="s">
        <v>88</v>
      </c>
      <c r="C15" s="10">
        <v>43074</v>
      </c>
      <c r="D15" s="6" t="str">
        <f t="shared" si="0"/>
        <v>Dec</v>
      </c>
      <c r="E15" s="12">
        <f t="shared" si="1"/>
        <v>2017</v>
      </c>
      <c r="F15" s="10">
        <v>43079</v>
      </c>
      <c r="G15" s="12">
        <f t="shared" si="2"/>
        <v>5</v>
      </c>
      <c r="H15" s="9" t="s">
        <v>46</v>
      </c>
      <c r="I15" s="9" t="s">
        <v>89</v>
      </c>
      <c r="J15" s="9" t="s">
        <v>90</v>
      </c>
      <c r="K15" s="9" t="s">
        <v>22</v>
      </c>
      <c r="L15" s="9" t="s">
        <v>23</v>
      </c>
      <c r="M15" s="9" t="s">
        <v>91</v>
      </c>
      <c r="N15" s="9" t="s">
        <v>92</v>
      </c>
      <c r="O15" s="9">
        <v>98103</v>
      </c>
      <c r="P15" s="9" t="s">
        <v>40</v>
      </c>
      <c r="Q15" s="9" t="s">
        <v>93</v>
      </c>
      <c r="R15" s="9" t="s">
        <v>42</v>
      </c>
      <c r="S15" s="9" t="s">
        <v>71</v>
      </c>
      <c r="T15" s="9" t="s">
        <v>94</v>
      </c>
      <c r="U15" s="11">
        <v>407.976</v>
      </c>
    </row>
    <row r="16" spans="1:21" x14ac:dyDescent="0.3">
      <c r="A16" s="4">
        <v>15</v>
      </c>
      <c r="B16" s="5" t="s">
        <v>95</v>
      </c>
      <c r="C16" s="6">
        <v>42696</v>
      </c>
      <c r="D16" s="6" t="str">
        <f t="shared" si="0"/>
        <v>Nov</v>
      </c>
      <c r="E16" s="12">
        <f t="shared" si="1"/>
        <v>2016</v>
      </c>
      <c r="F16" s="6">
        <v>42700</v>
      </c>
      <c r="G16" s="12">
        <f t="shared" si="2"/>
        <v>4</v>
      </c>
      <c r="H16" s="5" t="s">
        <v>46</v>
      </c>
      <c r="I16" s="5" t="s">
        <v>96</v>
      </c>
      <c r="J16" s="5" t="s">
        <v>97</v>
      </c>
      <c r="K16" s="5" t="s">
        <v>98</v>
      </c>
      <c r="L16" s="5" t="s">
        <v>23</v>
      </c>
      <c r="M16" s="5" t="s">
        <v>99</v>
      </c>
      <c r="N16" s="5" t="s">
        <v>100</v>
      </c>
      <c r="O16" s="5">
        <v>76106</v>
      </c>
      <c r="P16" s="5" t="s">
        <v>101</v>
      </c>
      <c r="Q16" s="5" t="s">
        <v>102</v>
      </c>
      <c r="R16" s="5" t="s">
        <v>42</v>
      </c>
      <c r="S16" s="5" t="s">
        <v>74</v>
      </c>
      <c r="T16" s="5" t="s">
        <v>103</v>
      </c>
      <c r="U16" s="7">
        <v>68.81</v>
      </c>
    </row>
    <row r="17" spans="1:21" x14ac:dyDescent="0.3">
      <c r="A17" s="8">
        <v>16</v>
      </c>
      <c r="B17" s="9" t="s">
        <v>95</v>
      </c>
      <c r="C17" s="10">
        <v>42696</v>
      </c>
      <c r="D17" s="6" t="str">
        <f t="shared" si="0"/>
        <v>Nov</v>
      </c>
      <c r="E17" s="12">
        <f t="shared" si="1"/>
        <v>2016</v>
      </c>
      <c r="F17" s="10">
        <v>42700</v>
      </c>
      <c r="G17" s="12">
        <f t="shared" si="2"/>
        <v>4</v>
      </c>
      <c r="H17" s="9" t="s">
        <v>46</v>
      </c>
      <c r="I17" s="9" t="s">
        <v>96</v>
      </c>
      <c r="J17" s="9" t="s">
        <v>97</v>
      </c>
      <c r="K17" s="9" t="s">
        <v>98</v>
      </c>
      <c r="L17" s="9" t="s">
        <v>23</v>
      </c>
      <c r="M17" s="9" t="s">
        <v>99</v>
      </c>
      <c r="N17" s="9" t="s">
        <v>100</v>
      </c>
      <c r="O17" s="9">
        <v>76106</v>
      </c>
      <c r="P17" s="9" t="s">
        <v>101</v>
      </c>
      <c r="Q17" s="9" t="s">
        <v>104</v>
      </c>
      <c r="R17" s="9" t="s">
        <v>42</v>
      </c>
      <c r="S17" s="9" t="s">
        <v>71</v>
      </c>
      <c r="T17" s="9" t="s">
        <v>105</v>
      </c>
      <c r="U17" s="11">
        <v>2.544</v>
      </c>
    </row>
    <row r="18" spans="1:21" x14ac:dyDescent="0.3">
      <c r="A18" s="4">
        <v>17</v>
      </c>
      <c r="B18" s="5" t="s">
        <v>106</v>
      </c>
      <c r="C18" s="6">
        <v>42319</v>
      </c>
      <c r="D18" s="6" t="str">
        <f t="shared" si="0"/>
        <v>Nov</v>
      </c>
      <c r="E18" s="12">
        <f t="shared" si="1"/>
        <v>2015</v>
      </c>
      <c r="F18" s="6">
        <v>42326</v>
      </c>
      <c r="G18" s="12">
        <f t="shared" si="2"/>
        <v>7</v>
      </c>
      <c r="H18" s="5" t="s">
        <v>46</v>
      </c>
      <c r="I18" s="5" t="s">
        <v>107</v>
      </c>
      <c r="J18" s="5" t="s">
        <v>108</v>
      </c>
      <c r="K18" s="5" t="s">
        <v>22</v>
      </c>
      <c r="L18" s="5" t="s">
        <v>23</v>
      </c>
      <c r="M18" s="5" t="s">
        <v>109</v>
      </c>
      <c r="N18" s="5" t="s">
        <v>110</v>
      </c>
      <c r="O18" s="5">
        <v>53711</v>
      </c>
      <c r="P18" s="5" t="s">
        <v>101</v>
      </c>
      <c r="Q18" s="5" t="s">
        <v>111</v>
      </c>
      <c r="R18" s="5" t="s">
        <v>42</v>
      </c>
      <c r="S18" s="5" t="s">
        <v>55</v>
      </c>
      <c r="T18" s="5" t="s">
        <v>112</v>
      </c>
      <c r="U18" s="7">
        <v>665.88</v>
      </c>
    </row>
    <row r="19" spans="1:21" x14ac:dyDescent="0.3">
      <c r="A19" s="8">
        <v>18</v>
      </c>
      <c r="B19" s="9" t="s">
        <v>113</v>
      </c>
      <c r="C19" s="10">
        <v>42137</v>
      </c>
      <c r="D19" s="6" t="str">
        <f t="shared" si="0"/>
        <v>May</v>
      </c>
      <c r="E19" s="12">
        <f t="shared" si="1"/>
        <v>2015</v>
      </c>
      <c r="F19" s="10">
        <v>42139</v>
      </c>
      <c r="G19" s="12">
        <f t="shared" si="2"/>
        <v>2</v>
      </c>
      <c r="H19" s="9" t="s">
        <v>19</v>
      </c>
      <c r="I19" s="9" t="s">
        <v>114</v>
      </c>
      <c r="J19" s="9" t="s">
        <v>115</v>
      </c>
      <c r="K19" s="9" t="s">
        <v>22</v>
      </c>
      <c r="L19" s="9" t="s">
        <v>23</v>
      </c>
      <c r="M19" s="9" t="s">
        <v>116</v>
      </c>
      <c r="N19" s="9" t="s">
        <v>117</v>
      </c>
      <c r="O19" s="9">
        <v>84084</v>
      </c>
      <c r="P19" s="9" t="s">
        <v>40</v>
      </c>
      <c r="Q19" s="9" t="s">
        <v>118</v>
      </c>
      <c r="R19" s="9" t="s">
        <v>42</v>
      </c>
      <c r="S19" s="9" t="s">
        <v>55</v>
      </c>
      <c r="T19" s="9" t="s">
        <v>119</v>
      </c>
      <c r="U19" s="11">
        <v>55.5</v>
      </c>
    </row>
    <row r="20" spans="1:21" x14ac:dyDescent="0.3">
      <c r="A20" s="4">
        <v>19</v>
      </c>
      <c r="B20" s="5" t="s">
        <v>120</v>
      </c>
      <c r="C20" s="6">
        <v>42243</v>
      </c>
      <c r="D20" s="6" t="str">
        <f t="shared" si="0"/>
        <v>Aug</v>
      </c>
      <c r="E20" s="12">
        <f t="shared" si="1"/>
        <v>2015</v>
      </c>
      <c r="F20" s="6">
        <v>42248</v>
      </c>
      <c r="G20" s="12">
        <f t="shared" si="2"/>
        <v>5</v>
      </c>
      <c r="H20" s="5" t="s">
        <v>19</v>
      </c>
      <c r="I20" s="5" t="s">
        <v>121</v>
      </c>
      <c r="J20" s="5" t="s">
        <v>122</v>
      </c>
      <c r="K20" s="5" t="s">
        <v>22</v>
      </c>
      <c r="L20" s="5" t="s">
        <v>23</v>
      </c>
      <c r="M20" s="5" t="s">
        <v>123</v>
      </c>
      <c r="N20" s="5" t="s">
        <v>39</v>
      </c>
      <c r="O20" s="5">
        <v>94109</v>
      </c>
      <c r="P20" s="5" t="s">
        <v>40</v>
      </c>
      <c r="Q20" s="5" t="s">
        <v>124</v>
      </c>
      <c r="R20" s="5" t="s">
        <v>42</v>
      </c>
      <c r="S20" s="5" t="s">
        <v>64</v>
      </c>
      <c r="T20" s="5" t="s">
        <v>125</v>
      </c>
      <c r="U20" s="7">
        <v>8.56</v>
      </c>
    </row>
    <row r="21" spans="1:21" x14ac:dyDescent="0.3">
      <c r="A21" s="8">
        <v>20</v>
      </c>
      <c r="B21" s="9" t="s">
        <v>120</v>
      </c>
      <c r="C21" s="10">
        <v>42243</v>
      </c>
      <c r="D21" s="6" t="str">
        <f t="shared" si="0"/>
        <v>Aug</v>
      </c>
      <c r="E21" s="12">
        <f t="shared" si="1"/>
        <v>2015</v>
      </c>
      <c r="F21" s="10">
        <v>42248</v>
      </c>
      <c r="G21" s="12">
        <f t="shared" si="2"/>
        <v>5</v>
      </c>
      <c r="H21" s="9" t="s">
        <v>19</v>
      </c>
      <c r="I21" s="9" t="s">
        <v>121</v>
      </c>
      <c r="J21" s="9" t="s">
        <v>122</v>
      </c>
      <c r="K21" s="9" t="s">
        <v>22</v>
      </c>
      <c r="L21" s="9" t="s">
        <v>23</v>
      </c>
      <c r="M21" s="9" t="s">
        <v>123</v>
      </c>
      <c r="N21" s="9" t="s">
        <v>39</v>
      </c>
      <c r="O21" s="9">
        <v>94109</v>
      </c>
      <c r="P21" s="9" t="s">
        <v>40</v>
      </c>
      <c r="Q21" s="9" t="s">
        <v>126</v>
      </c>
      <c r="R21" s="9" t="s">
        <v>67</v>
      </c>
      <c r="S21" s="9" t="s">
        <v>68</v>
      </c>
      <c r="T21" s="9" t="s">
        <v>127</v>
      </c>
      <c r="U21" s="11">
        <v>213.48</v>
      </c>
    </row>
    <row r="22" spans="1:21" x14ac:dyDescent="0.3">
      <c r="A22" s="4">
        <v>21</v>
      </c>
      <c r="B22" s="5" t="s">
        <v>120</v>
      </c>
      <c r="C22" s="6">
        <v>42243</v>
      </c>
      <c r="D22" s="6" t="str">
        <f t="shared" si="0"/>
        <v>Aug</v>
      </c>
      <c r="E22" s="12">
        <f t="shared" si="1"/>
        <v>2015</v>
      </c>
      <c r="F22" s="6">
        <v>42248</v>
      </c>
      <c r="G22" s="12">
        <f t="shared" si="2"/>
        <v>5</v>
      </c>
      <c r="H22" s="5" t="s">
        <v>19</v>
      </c>
      <c r="I22" s="5" t="s">
        <v>121</v>
      </c>
      <c r="J22" s="5" t="s">
        <v>122</v>
      </c>
      <c r="K22" s="5" t="s">
        <v>22</v>
      </c>
      <c r="L22" s="5" t="s">
        <v>23</v>
      </c>
      <c r="M22" s="5" t="s">
        <v>123</v>
      </c>
      <c r="N22" s="5" t="s">
        <v>39</v>
      </c>
      <c r="O22" s="5">
        <v>94109</v>
      </c>
      <c r="P22" s="5" t="s">
        <v>40</v>
      </c>
      <c r="Q22" s="5" t="s">
        <v>128</v>
      </c>
      <c r="R22" s="5" t="s">
        <v>42</v>
      </c>
      <c r="S22" s="5" t="s">
        <v>71</v>
      </c>
      <c r="T22" s="5" t="s">
        <v>129</v>
      </c>
      <c r="U22" s="7">
        <v>22.72</v>
      </c>
    </row>
    <row r="23" spans="1:21" x14ac:dyDescent="0.3">
      <c r="A23" s="8">
        <v>22</v>
      </c>
      <c r="B23" s="9" t="s">
        <v>130</v>
      </c>
      <c r="C23" s="10">
        <v>43078</v>
      </c>
      <c r="D23" s="6" t="str">
        <f t="shared" si="0"/>
        <v>Dec</v>
      </c>
      <c r="E23" s="12">
        <f t="shared" si="1"/>
        <v>2017</v>
      </c>
      <c r="F23" s="10">
        <v>43082</v>
      </c>
      <c r="G23" s="12">
        <f t="shared" si="2"/>
        <v>4</v>
      </c>
      <c r="H23" s="9" t="s">
        <v>46</v>
      </c>
      <c r="I23" s="9" t="s">
        <v>131</v>
      </c>
      <c r="J23" s="9" t="s">
        <v>132</v>
      </c>
      <c r="K23" s="9" t="s">
        <v>37</v>
      </c>
      <c r="L23" s="9" t="s">
        <v>23</v>
      </c>
      <c r="M23" s="9" t="s">
        <v>133</v>
      </c>
      <c r="N23" s="9" t="s">
        <v>134</v>
      </c>
      <c r="O23" s="9">
        <v>68025</v>
      </c>
      <c r="P23" s="9" t="s">
        <v>101</v>
      </c>
      <c r="Q23" s="9" t="s">
        <v>135</v>
      </c>
      <c r="R23" s="9" t="s">
        <v>42</v>
      </c>
      <c r="S23" s="9" t="s">
        <v>64</v>
      </c>
      <c r="T23" s="9" t="s">
        <v>136</v>
      </c>
      <c r="U23" s="11">
        <v>19.46</v>
      </c>
    </row>
    <row r="24" spans="1:21" x14ac:dyDescent="0.3">
      <c r="A24" s="4">
        <v>23</v>
      </c>
      <c r="B24" s="5" t="s">
        <v>130</v>
      </c>
      <c r="C24" s="6">
        <v>43078</v>
      </c>
      <c r="D24" s="6" t="str">
        <f t="shared" si="0"/>
        <v>Dec</v>
      </c>
      <c r="E24" s="12">
        <f t="shared" si="1"/>
        <v>2017</v>
      </c>
      <c r="F24" s="6">
        <v>43082</v>
      </c>
      <c r="G24" s="12">
        <f t="shared" si="2"/>
        <v>4</v>
      </c>
      <c r="H24" s="5" t="s">
        <v>46</v>
      </c>
      <c r="I24" s="5" t="s">
        <v>131</v>
      </c>
      <c r="J24" s="5" t="s">
        <v>132</v>
      </c>
      <c r="K24" s="5" t="s">
        <v>37</v>
      </c>
      <c r="L24" s="5" t="s">
        <v>23</v>
      </c>
      <c r="M24" s="5" t="s">
        <v>133</v>
      </c>
      <c r="N24" s="5" t="s">
        <v>134</v>
      </c>
      <c r="O24" s="5">
        <v>68025</v>
      </c>
      <c r="P24" s="5" t="s">
        <v>101</v>
      </c>
      <c r="Q24" s="5" t="s">
        <v>137</v>
      </c>
      <c r="R24" s="5" t="s">
        <v>42</v>
      </c>
      <c r="S24" s="5" t="s">
        <v>74</v>
      </c>
      <c r="T24" s="5" t="s">
        <v>138</v>
      </c>
      <c r="U24" s="7">
        <v>60.34</v>
      </c>
    </row>
    <row r="25" spans="1:21" x14ac:dyDescent="0.3">
      <c r="A25" s="8">
        <v>24</v>
      </c>
      <c r="B25" s="9" t="s">
        <v>139</v>
      </c>
      <c r="C25" s="10">
        <v>43297</v>
      </c>
      <c r="D25" s="6" t="str">
        <f t="shared" si="0"/>
        <v>Jul</v>
      </c>
      <c r="E25" s="12">
        <f t="shared" si="1"/>
        <v>2018</v>
      </c>
      <c r="F25" s="10">
        <v>43299</v>
      </c>
      <c r="G25" s="12">
        <f t="shared" si="2"/>
        <v>2</v>
      </c>
      <c r="H25" s="9" t="s">
        <v>19</v>
      </c>
      <c r="I25" s="9" t="s">
        <v>140</v>
      </c>
      <c r="J25" s="9" t="s">
        <v>141</v>
      </c>
      <c r="K25" s="9" t="s">
        <v>22</v>
      </c>
      <c r="L25" s="9" t="s">
        <v>23</v>
      </c>
      <c r="M25" s="9" t="s">
        <v>142</v>
      </c>
      <c r="N25" s="9" t="s">
        <v>143</v>
      </c>
      <c r="O25" s="9">
        <v>19140</v>
      </c>
      <c r="P25" s="9" t="s">
        <v>144</v>
      </c>
      <c r="Q25" s="9" t="s">
        <v>145</v>
      </c>
      <c r="R25" s="9" t="s">
        <v>28</v>
      </c>
      <c r="S25" s="9" t="s">
        <v>32</v>
      </c>
      <c r="T25" s="9" t="s">
        <v>146</v>
      </c>
      <c r="U25" s="11">
        <v>71.372</v>
      </c>
    </row>
    <row r="26" spans="1:21" x14ac:dyDescent="0.3">
      <c r="A26" s="4">
        <v>25</v>
      </c>
      <c r="B26" s="5" t="s">
        <v>147</v>
      </c>
      <c r="C26" s="6">
        <v>42638</v>
      </c>
      <c r="D26" s="6" t="str">
        <f t="shared" si="0"/>
        <v>Sep</v>
      </c>
      <c r="E26" s="12">
        <f t="shared" si="1"/>
        <v>2016</v>
      </c>
      <c r="F26" s="6">
        <v>42643</v>
      </c>
      <c r="G26" s="12">
        <f t="shared" si="2"/>
        <v>5</v>
      </c>
      <c r="H26" s="5" t="s">
        <v>46</v>
      </c>
      <c r="I26" s="5" t="s">
        <v>148</v>
      </c>
      <c r="J26" s="5" t="s">
        <v>149</v>
      </c>
      <c r="K26" s="5" t="s">
        <v>22</v>
      </c>
      <c r="L26" s="5" t="s">
        <v>23</v>
      </c>
      <c r="M26" s="5" t="s">
        <v>150</v>
      </c>
      <c r="N26" s="5" t="s">
        <v>117</v>
      </c>
      <c r="O26" s="5">
        <v>84057</v>
      </c>
      <c r="P26" s="5" t="s">
        <v>40</v>
      </c>
      <c r="Q26" s="5" t="s">
        <v>51</v>
      </c>
      <c r="R26" s="5" t="s">
        <v>28</v>
      </c>
      <c r="S26" s="5" t="s">
        <v>52</v>
      </c>
      <c r="T26" s="5" t="s">
        <v>53</v>
      </c>
      <c r="U26" s="7">
        <v>1044.6300000000001</v>
      </c>
    </row>
    <row r="27" spans="1:21" x14ac:dyDescent="0.3">
      <c r="A27" s="8">
        <v>26</v>
      </c>
      <c r="B27" s="9" t="s">
        <v>151</v>
      </c>
      <c r="C27" s="10">
        <v>42751</v>
      </c>
      <c r="D27" s="6" t="str">
        <f t="shared" si="0"/>
        <v>Jan</v>
      </c>
      <c r="E27" s="12">
        <f t="shared" si="1"/>
        <v>2017</v>
      </c>
      <c r="F27" s="10">
        <v>42755</v>
      </c>
      <c r="G27" s="12">
        <f t="shared" si="2"/>
        <v>4</v>
      </c>
      <c r="H27" s="9" t="s">
        <v>19</v>
      </c>
      <c r="I27" s="9" t="s">
        <v>152</v>
      </c>
      <c r="J27" s="9" t="s">
        <v>153</v>
      </c>
      <c r="K27" s="9" t="s">
        <v>22</v>
      </c>
      <c r="L27" s="9" t="s">
        <v>23</v>
      </c>
      <c r="M27" s="9" t="s">
        <v>38</v>
      </c>
      <c r="N27" s="9" t="s">
        <v>39</v>
      </c>
      <c r="O27" s="9">
        <v>90049</v>
      </c>
      <c r="P27" s="9" t="s">
        <v>40</v>
      </c>
      <c r="Q27" s="9" t="s">
        <v>154</v>
      </c>
      <c r="R27" s="9" t="s">
        <v>42</v>
      </c>
      <c r="S27" s="9" t="s">
        <v>71</v>
      </c>
      <c r="T27" s="9" t="s">
        <v>155</v>
      </c>
      <c r="U27" s="11">
        <v>11.648</v>
      </c>
    </row>
    <row r="28" spans="1:21" x14ac:dyDescent="0.3">
      <c r="A28" s="4">
        <v>27</v>
      </c>
      <c r="B28" s="5" t="s">
        <v>151</v>
      </c>
      <c r="C28" s="6">
        <v>42751</v>
      </c>
      <c r="D28" s="6" t="str">
        <f t="shared" si="0"/>
        <v>Jan</v>
      </c>
      <c r="E28" s="12">
        <f t="shared" si="1"/>
        <v>2017</v>
      </c>
      <c r="F28" s="6">
        <v>42755</v>
      </c>
      <c r="G28" s="12">
        <f t="shared" si="2"/>
        <v>4</v>
      </c>
      <c r="H28" s="5" t="s">
        <v>19</v>
      </c>
      <c r="I28" s="5" t="s">
        <v>152</v>
      </c>
      <c r="J28" s="5" t="s">
        <v>153</v>
      </c>
      <c r="K28" s="5" t="s">
        <v>22</v>
      </c>
      <c r="L28" s="5" t="s">
        <v>23</v>
      </c>
      <c r="M28" s="5" t="s">
        <v>38</v>
      </c>
      <c r="N28" s="5" t="s">
        <v>39</v>
      </c>
      <c r="O28" s="5">
        <v>90049</v>
      </c>
      <c r="P28" s="5" t="s">
        <v>40</v>
      </c>
      <c r="Q28" s="5" t="s">
        <v>156</v>
      </c>
      <c r="R28" s="5" t="s">
        <v>67</v>
      </c>
      <c r="S28" s="5" t="s">
        <v>157</v>
      </c>
      <c r="T28" s="5" t="s">
        <v>158</v>
      </c>
      <c r="U28" s="7">
        <v>90.57</v>
      </c>
    </row>
    <row r="29" spans="1:21" x14ac:dyDescent="0.3">
      <c r="A29" s="8">
        <v>28</v>
      </c>
      <c r="B29" s="9" t="s">
        <v>159</v>
      </c>
      <c r="C29" s="10">
        <v>42630</v>
      </c>
      <c r="D29" s="6" t="str">
        <f t="shared" si="0"/>
        <v>Sep</v>
      </c>
      <c r="E29" s="12">
        <f t="shared" si="1"/>
        <v>2016</v>
      </c>
      <c r="F29" s="10">
        <v>42634</v>
      </c>
      <c r="G29" s="12">
        <f t="shared" si="2"/>
        <v>4</v>
      </c>
      <c r="H29" s="9" t="s">
        <v>46</v>
      </c>
      <c r="I29" s="9" t="s">
        <v>160</v>
      </c>
      <c r="J29" s="9" t="s">
        <v>161</v>
      </c>
      <c r="K29" s="9" t="s">
        <v>22</v>
      </c>
      <c r="L29" s="9" t="s">
        <v>23</v>
      </c>
      <c r="M29" s="9" t="s">
        <v>142</v>
      </c>
      <c r="N29" s="9" t="s">
        <v>143</v>
      </c>
      <c r="O29" s="9">
        <v>19140</v>
      </c>
      <c r="P29" s="9" t="s">
        <v>144</v>
      </c>
      <c r="Q29" s="9" t="s">
        <v>162</v>
      </c>
      <c r="R29" s="9" t="s">
        <v>28</v>
      </c>
      <c r="S29" s="9" t="s">
        <v>29</v>
      </c>
      <c r="T29" s="9" t="s">
        <v>163</v>
      </c>
      <c r="U29" s="11">
        <v>3083.43</v>
      </c>
    </row>
    <row r="30" spans="1:21" x14ac:dyDescent="0.3">
      <c r="A30" s="4">
        <v>29</v>
      </c>
      <c r="B30" s="5" t="s">
        <v>159</v>
      </c>
      <c r="C30" s="6">
        <v>42630</v>
      </c>
      <c r="D30" s="6" t="str">
        <f t="shared" si="0"/>
        <v>Sep</v>
      </c>
      <c r="E30" s="12">
        <f t="shared" si="1"/>
        <v>2016</v>
      </c>
      <c r="F30" s="6">
        <v>42634</v>
      </c>
      <c r="G30" s="12">
        <f t="shared" si="2"/>
        <v>4</v>
      </c>
      <c r="H30" s="5" t="s">
        <v>46</v>
      </c>
      <c r="I30" s="5" t="s">
        <v>160</v>
      </c>
      <c r="J30" s="5" t="s">
        <v>161</v>
      </c>
      <c r="K30" s="5" t="s">
        <v>22</v>
      </c>
      <c r="L30" s="5" t="s">
        <v>23</v>
      </c>
      <c r="M30" s="5" t="s">
        <v>142</v>
      </c>
      <c r="N30" s="5" t="s">
        <v>143</v>
      </c>
      <c r="O30" s="5">
        <v>19140</v>
      </c>
      <c r="P30" s="5" t="s">
        <v>144</v>
      </c>
      <c r="Q30" s="5" t="s">
        <v>164</v>
      </c>
      <c r="R30" s="5" t="s">
        <v>42</v>
      </c>
      <c r="S30" s="5" t="s">
        <v>71</v>
      </c>
      <c r="T30" s="5" t="s">
        <v>165</v>
      </c>
      <c r="U30" s="7">
        <v>9.6180000000000003</v>
      </c>
    </row>
    <row r="31" spans="1:21" x14ac:dyDescent="0.3">
      <c r="A31" s="8">
        <v>30</v>
      </c>
      <c r="B31" s="9" t="s">
        <v>159</v>
      </c>
      <c r="C31" s="10">
        <v>42630</v>
      </c>
      <c r="D31" s="6" t="str">
        <f t="shared" si="0"/>
        <v>Sep</v>
      </c>
      <c r="E31" s="12">
        <f t="shared" si="1"/>
        <v>2016</v>
      </c>
      <c r="F31" s="10">
        <v>42634</v>
      </c>
      <c r="G31" s="12">
        <f t="shared" si="2"/>
        <v>4</v>
      </c>
      <c r="H31" s="9" t="s">
        <v>46</v>
      </c>
      <c r="I31" s="9" t="s">
        <v>160</v>
      </c>
      <c r="J31" s="9" t="s">
        <v>161</v>
      </c>
      <c r="K31" s="9" t="s">
        <v>22</v>
      </c>
      <c r="L31" s="9" t="s">
        <v>23</v>
      </c>
      <c r="M31" s="9" t="s">
        <v>142</v>
      </c>
      <c r="N31" s="9" t="s">
        <v>143</v>
      </c>
      <c r="O31" s="9">
        <v>19140</v>
      </c>
      <c r="P31" s="9" t="s">
        <v>144</v>
      </c>
      <c r="Q31" s="9" t="s">
        <v>166</v>
      </c>
      <c r="R31" s="9" t="s">
        <v>28</v>
      </c>
      <c r="S31" s="9" t="s">
        <v>61</v>
      </c>
      <c r="T31" s="9" t="s">
        <v>167</v>
      </c>
      <c r="U31" s="11">
        <v>124.2</v>
      </c>
    </row>
    <row r="32" spans="1:21" x14ac:dyDescent="0.3">
      <c r="A32" s="4">
        <v>31</v>
      </c>
      <c r="B32" s="5" t="s">
        <v>159</v>
      </c>
      <c r="C32" s="6">
        <v>42630</v>
      </c>
      <c r="D32" s="6" t="str">
        <f t="shared" si="0"/>
        <v>Sep</v>
      </c>
      <c r="E32" s="12">
        <f t="shared" si="1"/>
        <v>2016</v>
      </c>
      <c r="F32" s="6">
        <v>42634</v>
      </c>
      <c r="G32" s="12">
        <f t="shared" si="2"/>
        <v>4</v>
      </c>
      <c r="H32" s="5" t="s">
        <v>46</v>
      </c>
      <c r="I32" s="5" t="s">
        <v>160</v>
      </c>
      <c r="J32" s="5" t="s">
        <v>161</v>
      </c>
      <c r="K32" s="5" t="s">
        <v>22</v>
      </c>
      <c r="L32" s="5" t="s">
        <v>23</v>
      </c>
      <c r="M32" s="5" t="s">
        <v>142</v>
      </c>
      <c r="N32" s="5" t="s">
        <v>143</v>
      </c>
      <c r="O32" s="5">
        <v>19140</v>
      </c>
      <c r="P32" s="5" t="s">
        <v>144</v>
      </c>
      <c r="Q32" s="5" t="s">
        <v>168</v>
      </c>
      <c r="R32" s="5" t="s">
        <v>42</v>
      </c>
      <c r="S32" s="5" t="s">
        <v>169</v>
      </c>
      <c r="T32" s="5" t="s">
        <v>170</v>
      </c>
      <c r="U32" s="7">
        <v>3.2639999999999998</v>
      </c>
    </row>
    <row r="33" spans="1:21" x14ac:dyDescent="0.3">
      <c r="A33" s="8">
        <v>32</v>
      </c>
      <c r="B33" s="9" t="s">
        <v>159</v>
      </c>
      <c r="C33" s="10">
        <v>42630</v>
      </c>
      <c r="D33" s="6" t="str">
        <f t="shared" si="0"/>
        <v>Sep</v>
      </c>
      <c r="E33" s="12">
        <f t="shared" si="1"/>
        <v>2016</v>
      </c>
      <c r="F33" s="10">
        <v>42634</v>
      </c>
      <c r="G33" s="12">
        <f t="shared" si="2"/>
        <v>4</v>
      </c>
      <c r="H33" s="9" t="s">
        <v>46</v>
      </c>
      <c r="I33" s="9" t="s">
        <v>160</v>
      </c>
      <c r="J33" s="9" t="s">
        <v>161</v>
      </c>
      <c r="K33" s="9" t="s">
        <v>22</v>
      </c>
      <c r="L33" s="9" t="s">
        <v>23</v>
      </c>
      <c r="M33" s="9" t="s">
        <v>142</v>
      </c>
      <c r="N33" s="9" t="s">
        <v>143</v>
      </c>
      <c r="O33" s="9">
        <v>19140</v>
      </c>
      <c r="P33" s="9" t="s">
        <v>144</v>
      </c>
      <c r="Q33" s="9" t="s">
        <v>171</v>
      </c>
      <c r="R33" s="9" t="s">
        <v>42</v>
      </c>
      <c r="S33" s="9" t="s">
        <v>64</v>
      </c>
      <c r="T33" s="9" t="s">
        <v>172</v>
      </c>
      <c r="U33" s="11">
        <v>86.304000000000002</v>
      </c>
    </row>
    <row r="34" spans="1:21" x14ac:dyDescent="0.3">
      <c r="A34" s="4">
        <v>33</v>
      </c>
      <c r="B34" s="5" t="s">
        <v>159</v>
      </c>
      <c r="C34" s="6">
        <v>42630</v>
      </c>
      <c r="D34" s="6" t="str">
        <f t="shared" si="0"/>
        <v>Sep</v>
      </c>
      <c r="E34" s="12">
        <f t="shared" si="1"/>
        <v>2016</v>
      </c>
      <c r="F34" s="6">
        <v>42634</v>
      </c>
      <c r="G34" s="12">
        <f t="shared" si="2"/>
        <v>4</v>
      </c>
      <c r="H34" s="5" t="s">
        <v>46</v>
      </c>
      <c r="I34" s="5" t="s">
        <v>160</v>
      </c>
      <c r="J34" s="5" t="s">
        <v>161</v>
      </c>
      <c r="K34" s="5" t="s">
        <v>22</v>
      </c>
      <c r="L34" s="5" t="s">
        <v>23</v>
      </c>
      <c r="M34" s="5" t="s">
        <v>142</v>
      </c>
      <c r="N34" s="5" t="s">
        <v>143</v>
      </c>
      <c r="O34" s="5">
        <v>19140</v>
      </c>
      <c r="P34" s="5" t="s">
        <v>144</v>
      </c>
      <c r="Q34" s="5" t="s">
        <v>173</v>
      </c>
      <c r="R34" s="5" t="s">
        <v>42</v>
      </c>
      <c r="S34" s="5" t="s">
        <v>71</v>
      </c>
      <c r="T34" s="5" t="s">
        <v>174</v>
      </c>
      <c r="U34" s="7">
        <v>6.8579999999999997</v>
      </c>
    </row>
    <row r="35" spans="1:21" x14ac:dyDescent="0.3">
      <c r="A35" s="8">
        <v>34</v>
      </c>
      <c r="B35" s="9" t="s">
        <v>159</v>
      </c>
      <c r="C35" s="10">
        <v>42630</v>
      </c>
      <c r="D35" s="6" t="str">
        <f t="shared" si="0"/>
        <v>Sep</v>
      </c>
      <c r="E35" s="12">
        <f t="shared" si="1"/>
        <v>2016</v>
      </c>
      <c r="F35" s="10">
        <v>42634</v>
      </c>
      <c r="G35" s="12">
        <f t="shared" si="2"/>
        <v>4</v>
      </c>
      <c r="H35" s="9" t="s">
        <v>46</v>
      </c>
      <c r="I35" s="9" t="s">
        <v>160</v>
      </c>
      <c r="J35" s="9" t="s">
        <v>161</v>
      </c>
      <c r="K35" s="9" t="s">
        <v>22</v>
      </c>
      <c r="L35" s="9" t="s">
        <v>23</v>
      </c>
      <c r="M35" s="9" t="s">
        <v>142</v>
      </c>
      <c r="N35" s="9" t="s">
        <v>143</v>
      </c>
      <c r="O35" s="9">
        <v>19140</v>
      </c>
      <c r="P35" s="9" t="s">
        <v>144</v>
      </c>
      <c r="Q35" s="9" t="s">
        <v>175</v>
      </c>
      <c r="R35" s="9" t="s">
        <v>42</v>
      </c>
      <c r="S35" s="9" t="s">
        <v>64</v>
      </c>
      <c r="T35" s="9" t="s">
        <v>176</v>
      </c>
      <c r="U35" s="11">
        <v>15.76</v>
      </c>
    </row>
    <row r="36" spans="1:21" x14ac:dyDescent="0.3">
      <c r="A36" s="4">
        <v>35</v>
      </c>
      <c r="B36" s="5" t="s">
        <v>177</v>
      </c>
      <c r="C36" s="6">
        <v>43392</v>
      </c>
      <c r="D36" s="6" t="str">
        <f t="shared" si="0"/>
        <v>Oct</v>
      </c>
      <c r="E36" s="12">
        <f t="shared" si="1"/>
        <v>2018</v>
      </c>
      <c r="F36" s="6">
        <v>43396</v>
      </c>
      <c r="G36" s="12">
        <f t="shared" si="2"/>
        <v>4</v>
      </c>
      <c r="H36" s="5" t="s">
        <v>19</v>
      </c>
      <c r="I36" s="5" t="s">
        <v>178</v>
      </c>
      <c r="J36" s="5" t="s">
        <v>179</v>
      </c>
      <c r="K36" s="5" t="s">
        <v>98</v>
      </c>
      <c r="L36" s="5" t="s">
        <v>23</v>
      </c>
      <c r="M36" s="5" t="s">
        <v>180</v>
      </c>
      <c r="N36" s="5" t="s">
        <v>100</v>
      </c>
      <c r="O36" s="5">
        <v>77095</v>
      </c>
      <c r="P36" s="5" t="s">
        <v>101</v>
      </c>
      <c r="Q36" s="5" t="s">
        <v>181</v>
      </c>
      <c r="R36" s="5" t="s">
        <v>42</v>
      </c>
      <c r="S36" s="5" t="s">
        <v>86</v>
      </c>
      <c r="T36" s="5" t="s">
        <v>182</v>
      </c>
      <c r="U36" s="7">
        <v>29.472000000000001</v>
      </c>
    </row>
    <row r="37" spans="1:21" x14ac:dyDescent="0.3">
      <c r="A37" s="8">
        <v>36</v>
      </c>
      <c r="B37" s="9" t="s">
        <v>183</v>
      </c>
      <c r="C37" s="10">
        <v>43077</v>
      </c>
      <c r="D37" s="6" t="str">
        <f t="shared" si="0"/>
        <v>Dec</v>
      </c>
      <c r="E37" s="12">
        <f t="shared" si="1"/>
        <v>2017</v>
      </c>
      <c r="F37" s="10">
        <v>43079</v>
      </c>
      <c r="G37" s="12">
        <f t="shared" si="2"/>
        <v>2</v>
      </c>
      <c r="H37" s="9" t="s">
        <v>184</v>
      </c>
      <c r="I37" s="9" t="s">
        <v>185</v>
      </c>
      <c r="J37" s="9" t="s">
        <v>186</v>
      </c>
      <c r="K37" s="9" t="s">
        <v>37</v>
      </c>
      <c r="L37" s="9" t="s">
        <v>23</v>
      </c>
      <c r="M37" s="9" t="s">
        <v>187</v>
      </c>
      <c r="N37" s="9" t="s">
        <v>100</v>
      </c>
      <c r="O37" s="9">
        <v>75080</v>
      </c>
      <c r="P37" s="9" t="s">
        <v>101</v>
      </c>
      <c r="Q37" s="9" t="s">
        <v>188</v>
      </c>
      <c r="R37" s="9" t="s">
        <v>67</v>
      </c>
      <c r="S37" s="9" t="s">
        <v>68</v>
      </c>
      <c r="T37" s="9" t="s">
        <v>189</v>
      </c>
      <c r="U37" s="11">
        <v>1097.5440000000001</v>
      </c>
    </row>
    <row r="38" spans="1:21" x14ac:dyDescent="0.3">
      <c r="A38" s="4">
        <v>37</v>
      </c>
      <c r="B38" s="5" t="s">
        <v>183</v>
      </c>
      <c r="C38" s="6">
        <v>43077</v>
      </c>
      <c r="D38" s="6" t="str">
        <f t="shared" si="0"/>
        <v>Dec</v>
      </c>
      <c r="E38" s="12">
        <f t="shared" si="1"/>
        <v>2017</v>
      </c>
      <c r="F38" s="6">
        <v>43079</v>
      </c>
      <c r="G38" s="12">
        <f t="shared" si="2"/>
        <v>2</v>
      </c>
      <c r="H38" s="5" t="s">
        <v>184</v>
      </c>
      <c r="I38" s="5" t="s">
        <v>185</v>
      </c>
      <c r="J38" s="5" t="s">
        <v>186</v>
      </c>
      <c r="K38" s="5" t="s">
        <v>37</v>
      </c>
      <c r="L38" s="5" t="s">
        <v>23</v>
      </c>
      <c r="M38" s="5" t="s">
        <v>187</v>
      </c>
      <c r="N38" s="5" t="s">
        <v>100</v>
      </c>
      <c r="O38" s="5">
        <v>75080</v>
      </c>
      <c r="P38" s="5" t="s">
        <v>101</v>
      </c>
      <c r="Q38" s="5" t="s">
        <v>190</v>
      </c>
      <c r="R38" s="5" t="s">
        <v>28</v>
      </c>
      <c r="S38" s="5" t="s">
        <v>61</v>
      </c>
      <c r="T38" s="5" t="s">
        <v>191</v>
      </c>
      <c r="U38" s="7">
        <v>190.92</v>
      </c>
    </row>
    <row r="39" spans="1:21" x14ac:dyDescent="0.3">
      <c r="A39" s="8">
        <v>38</v>
      </c>
      <c r="B39" s="9" t="s">
        <v>192</v>
      </c>
      <c r="C39" s="10">
        <v>42731</v>
      </c>
      <c r="D39" s="6" t="str">
        <f t="shared" si="0"/>
        <v>Dec</v>
      </c>
      <c r="E39" s="12">
        <f t="shared" si="1"/>
        <v>2016</v>
      </c>
      <c r="F39" s="10">
        <v>42735</v>
      </c>
      <c r="G39" s="12">
        <f t="shared" si="2"/>
        <v>4</v>
      </c>
      <c r="H39" s="9" t="s">
        <v>46</v>
      </c>
      <c r="I39" s="9" t="s">
        <v>193</v>
      </c>
      <c r="J39" s="9" t="s">
        <v>194</v>
      </c>
      <c r="K39" s="9" t="s">
        <v>98</v>
      </c>
      <c r="L39" s="9" t="s">
        <v>23</v>
      </c>
      <c r="M39" s="9" t="s">
        <v>180</v>
      </c>
      <c r="N39" s="9" t="s">
        <v>100</v>
      </c>
      <c r="O39" s="9">
        <v>77041</v>
      </c>
      <c r="P39" s="9" t="s">
        <v>101</v>
      </c>
      <c r="Q39" s="9" t="s">
        <v>195</v>
      </c>
      <c r="R39" s="9" t="s">
        <v>42</v>
      </c>
      <c r="S39" s="9" t="s">
        <v>169</v>
      </c>
      <c r="T39" s="9" t="s">
        <v>196</v>
      </c>
      <c r="U39" s="11">
        <v>113.328</v>
      </c>
    </row>
    <row r="40" spans="1:21" x14ac:dyDescent="0.3">
      <c r="A40" s="4">
        <v>39</v>
      </c>
      <c r="B40" s="5" t="s">
        <v>192</v>
      </c>
      <c r="C40" s="6">
        <v>42731</v>
      </c>
      <c r="D40" s="6" t="str">
        <f t="shared" si="0"/>
        <v>Dec</v>
      </c>
      <c r="E40" s="12">
        <f t="shared" si="1"/>
        <v>2016</v>
      </c>
      <c r="F40" s="6">
        <v>42735</v>
      </c>
      <c r="G40" s="12">
        <f t="shared" si="2"/>
        <v>4</v>
      </c>
      <c r="H40" s="5" t="s">
        <v>46</v>
      </c>
      <c r="I40" s="5" t="s">
        <v>193</v>
      </c>
      <c r="J40" s="5" t="s">
        <v>194</v>
      </c>
      <c r="K40" s="5" t="s">
        <v>98</v>
      </c>
      <c r="L40" s="5" t="s">
        <v>23</v>
      </c>
      <c r="M40" s="5" t="s">
        <v>180</v>
      </c>
      <c r="N40" s="5" t="s">
        <v>100</v>
      </c>
      <c r="O40" s="5">
        <v>77041</v>
      </c>
      <c r="P40" s="5" t="s">
        <v>101</v>
      </c>
      <c r="Q40" s="5" t="s">
        <v>197</v>
      </c>
      <c r="R40" s="5" t="s">
        <v>28</v>
      </c>
      <c r="S40" s="5" t="s">
        <v>29</v>
      </c>
      <c r="T40" s="5" t="s">
        <v>198</v>
      </c>
      <c r="U40" s="7">
        <v>532.39919999999995</v>
      </c>
    </row>
    <row r="41" spans="1:21" x14ac:dyDescent="0.3">
      <c r="A41" s="8">
        <v>40</v>
      </c>
      <c r="B41" s="9" t="s">
        <v>192</v>
      </c>
      <c r="C41" s="10">
        <v>42731</v>
      </c>
      <c r="D41" s="6" t="str">
        <f t="shared" si="0"/>
        <v>Dec</v>
      </c>
      <c r="E41" s="12">
        <f t="shared" si="1"/>
        <v>2016</v>
      </c>
      <c r="F41" s="10">
        <v>42735</v>
      </c>
      <c r="G41" s="12">
        <f t="shared" si="2"/>
        <v>4</v>
      </c>
      <c r="H41" s="9" t="s">
        <v>46</v>
      </c>
      <c r="I41" s="9" t="s">
        <v>193</v>
      </c>
      <c r="J41" s="9" t="s">
        <v>194</v>
      </c>
      <c r="K41" s="9" t="s">
        <v>98</v>
      </c>
      <c r="L41" s="9" t="s">
        <v>23</v>
      </c>
      <c r="M41" s="9" t="s">
        <v>180</v>
      </c>
      <c r="N41" s="9" t="s">
        <v>100</v>
      </c>
      <c r="O41" s="9">
        <v>77041</v>
      </c>
      <c r="P41" s="9" t="s">
        <v>101</v>
      </c>
      <c r="Q41" s="9" t="s">
        <v>199</v>
      </c>
      <c r="R41" s="9" t="s">
        <v>28</v>
      </c>
      <c r="S41" s="9" t="s">
        <v>32</v>
      </c>
      <c r="T41" s="9" t="s">
        <v>200</v>
      </c>
      <c r="U41" s="11">
        <v>212.05799999999999</v>
      </c>
    </row>
    <row r="42" spans="1:21" x14ac:dyDescent="0.3">
      <c r="A42" s="4">
        <v>41</v>
      </c>
      <c r="B42" s="5" t="s">
        <v>192</v>
      </c>
      <c r="C42" s="6">
        <v>42731</v>
      </c>
      <c r="D42" s="6" t="str">
        <f t="shared" si="0"/>
        <v>Dec</v>
      </c>
      <c r="E42" s="12">
        <f t="shared" si="1"/>
        <v>2016</v>
      </c>
      <c r="F42" s="6">
        <v>42735</v>
      </c>
      <c r="G42" s="12">
        <f t="shared" si="2"/>
        <v>4</v>
      </c>
      <c r="H42" s="5" t="s">
        <v>46</v>
      </c>
      <c r="I42" s="5" t="s">
        <v>193</v>
      </c>
      <c r="J42" s="5" t="s">
        <v>194</v>
      </c>
      <c r="K42" s="5" t="s">
        <v>98</v>
      </c>
      <c r="L42" s="5" t="s">
        <v>23</v>
      </c>
      <c r="M42" s="5" t="s">
        <v>180</v>
      </c>
      <c r="N42" s="5" t="s">
        <v>100</v>
      </c>
      <c r="O42" s="5">
        <v>77041</v>
      </c>
      <c r="P42" s="5" t="s">
        <v>101</v>
      </c>
      <c r="Q42" s="5" t="s">
        <v>201</v>
      </c>
      <c r="R42" s="5" t="s">
        <v>67</v>
      </c>
      <c r="S42" s="5" t="s">
        <v>68</v>
      </c>
      <c r="T42" s="5" t="s">
        <v>202</v>
      </c>
      <c r="U42" s="7">
        <v>371.16800000000001</v>
      </c>
    </row>
    <row r="43" spans="1:21" x14ac:dyDescent="0.3">
      <c r="A43" s="8">
        <v>42</v>
      </c>
      <c r="B43" s="9" t="s">
        <v>203</v>
      </c>
      <c r="C43" s="10">
        <v>43353</v>
      </c>
      <c r="D43" s="6" t="str">
        <f t="shared" si="0"/>
        <v>Sep</v>
      </c>
      <c r="E43" s="12">
        <f t="shared" si="1"/>
        <v>2018</v>
      </c>
      <c r="F43" s="10">
        <v>43358</v>
      </c>
      <c r="G43" s="12">
        <f t="shared" si="2"/>
        <v>5</v>
      </c>
      <c r="H43" s="9" t="s">
        <v>46</v>
      </c>
      <c r="I43" s="9" t="s">
        <v>204</v>
      </c>
      <c r="J43" s="9" t="s">
        <v>205</v>
      </c>
      <c r="K43" s="9" t="s">
        <v>37</v>
      </c>
      <c r="L43" s="9" t="s">
        <v>23</v>
      </c>
      <c r="M43" s="9" t="s">
        <v>206</v>
      </c>
      <c r="N43" s="9" t="s">
        <v>207</v>
      </c>
      <c r="O43" s="9">
        <v>60540</v>
      </c>
      <c r="P43" s="9" t="s">
        <v>101</v>
      </c>
      <c r="Q43" s="9" t="s">
        <v>208</v>
      </c>
      <c r="R43" s="9" t="s">
        <v>67</v>
      </c>
      <c r="S43" s="9" t="s">
        <v>68</v>
      </c>
      <c r="T43" s="9" t="s">
        <v>209</v>
      </c>
      <c r="U43" s="11">
        <v>147.16800000000001</v>
      </c>
    </row>
    <row r="44" spans="1:21" x14ac:dyDescent="0.3">
      <c r="A44" s="4">
        <v>43</v>
      </c>
      <c r="B44" s="5" t="s">
        <v>210</v>
      </c>
      <c r="C44" s="6">
        <v>42933</v>
      </c>
      <c r="D44" s="6" t="str">
        <f t="shared" si="0"/>
        <v>Jul</v>
      </c>
      <c r="E44" s="12">
        <f t="shared" si="1"/>
        <v>2017</v>
      </c>
      <c r="F44" s="6">
        <v>42938</v>
      </c>
      <c r="G44" s="12">
        <f t="shared" si="2"/>
        <v>5</v>
      </c>
      <c r="H44" s="5" t="s">
        <v>46</v>
      </c>
      <c r="I44" s="5" t="s">
        <v>211</v>
      </c>
      <c r="J44" s="5" t="s">
        <v>212</v>
      </c>
      <c r="K44" s="5" t="s">
        <v>37</v>
      </c>
      <c r="L44" s="5" t="s">
        <v>23</v>
      </c>
      <c r="M44" s="5" t="s">
        <v>38</v>
      </c>
      <c r="N44" s="5" t="s">
        <v>39</v>
      </c>
      <c r="O44" s="5">
        <v>90049</v>
      </c>
      <c r="P44" s="5" t="s">
        <v>40</v>
      </c>
      <c r="Q44" s="5" t="s">
        <v>213</v>
      </c>
      <c r="R44" s="5" t="s">
        <v>42</v>
      </c>
      <c r="S44" s="5" t="s">
        <v>55</v>
      </c>
      <c r="T44" s="5" t="s">
        <v>214</v>
      </c>
      <c r="U44" s="7">
        <v>77.88</v>
      </c>
    </row>
    <row r="45" spans="1:21" x14ac:dyDescent="0.3">
      <c r="A45" s="8">
        <v>44</v>
      </c>
      <c r="B45" s="9" t="s">
        <v>215</v>
      </c>
      <c r="C45" s="10">
        <v>43362</v>
      </c>
      <c r="D45" s="6" t="str">
        <f t="shared" si="0"/>
        <v>Sep</v>
      </c>
      <c r="E45" s="12">
        <f t="shared" si="1"/>
        <v>2018</v>
      </c>
      <c r="F45" s="10">
        <v>43366</v>
      </c>
      <c r="G45" s="12">
        <f t="shared" si="2"/>
        <v>4</v>
      </c>
      <c r="H45" s="9" t="s">
        <v>46</v>
      </c>
      <c r="I45" s="9" t="s">
        <v>216</v>
      </c>
      <c r="J45" s="9" t="s">
        <v>217</v>
      </c>
      <c r="K45" s="9" t="s">
        <v>37</v>
      </c>
      <c r="L45" s="9" t="s">
        <v>23</v>
      </c>
      <c r="M45" s="9" t="s">
        <v>218</v>
      </c>
      <c r="N45" s="9" t="s">
        <v>50</v>
      </c>
      <c r="O45" s="9">
        <v>32935</v>
      </c>
      <c r="P45" s="9" t="s">
        <v>26</v>
      </c>
      <c r="Q45" s="9" t="s">
        <v>219</v>
      </c>
      <c r="R45" s="9" t="s">
        <v>42</v>
      </c>
      <c r="S45" s="9" t="s">
        <v>55</v>
      </c>
      <c r="T45" s="9" t="s">
        <v>220</v>
      </c>
      <c r="U45" s="11">
        <v>95.616</v>
      </c>
    </row>
    <row r="46" spans="1:21" x14ac:dyDescent="0.3">
      <c r="A46" s="4">
        <v>45</v>
      </c>
      <c r="B46" s="5" t="s">
        <v>221</v>
      </c>
      <c r="C46" s="6">
        <v>42805</v>
      </c>
      <c r="D46" s="6" t="str">
        <f t="shared" si="0"/>
        <v>Mar</v>
      </c>
      <c r="E46" s="12">
        <f t="shared" si="1"/>
        <v>2017</v>
      </c>
      <c r="F46" s="6">
        <v>42807</v>
      </c>
      <c r="G46" s="12">
        <f t="shared" si="2"/>
        <v>2</v>
      </c>
      <c r="H46" s="5" t="s">
        <v>184</v>
      </c>
      <c r="I46" s="5" t="s">
        <v>222</v>
      </c>
      <c r="J46" s="5" t="s">
        <v>223</v>
      </c>
      <c r="K46" s="5" t="s">
        <v>37</v>
      </c>
      <c r="L46" s="5" t="s">
        <v>23</v>
      </c>
      <c r="M46" s="5" t="s">
        <v>224</v>
      </c>
      <c r="N46" s="5" t="s">
        <v>225</v>
      </c>
      <c r="O46" s="5">
        <v>55122</v>
      </c>
      <c r="P46" s="5" t="s">
        <v>101</v>
      </c>
      <c r="Q46" s="5" t="s">
        <v>226</v>
      </c>
      <c r="R46" s="5" t="s">
        <v>67</v>
      </c>
      <c r="S46" s="5" t="s">
        <v>157</v>
      </c>
      <c r="T46" s="5" t="s">
        <v>227</v>
      </c>
      <c r="U46" s="7">
        <v>45.98</v>
      </c>
    </row>
    <row r="47" spans="1:21" x14ac:dyDescent="0.3">
      <c r="A47" s="8">
        <v>46</v>
      </c>
      <c r="B47" s="9" t="s">
        <v>221</v>
      </c>
      <c r="C47" s="10">
        <v>42805</v>
      </c>
      <c r="D47" s="6" t="str">
        <f t="shared" si="0"/>
        <v>Mar</v>
      </c>
      <c r="E47" s="12">
        <f t="shared" si="1"/>
        <v>2017</v>
      </c>
      <c r="F47" s="10">
        <v>42807</v>
      </c>
      <c r="G47" s="12">
        <f t="shared" si="2"/>
        <v>2</v>
      </c>
      <c r="H47" s="9" t="s">
        <v>184</v>
      </c>
      <c r="I47" s="9" t="s">
        <v>222</v>
      </c>
      <c r="J47" s="9" t="s">
        <v>223</v>
      </c>
      <c r="K47" s="9" t="s">
        <v>37</v>
      </c>
      <c r="L47" s="9" t="s">
        <v>23</v>
      </c>
      <c r="M47" s="9" t="s">
        <v>224</v>
      </c>
      <c r="N47" s="9" t="s">
        <v>225</v>
      </c>
      <c r="O47" s="9">
        <v>55122</v>
      </c>
      <c r="P47" s="9" t="s">
        <v>101</v>
      </c>
      <c r="Q47" s="9" t="s">
        <v>228</v>
      </c>
      <c r="R47" s="9" t="s">
        <v>42</v>
      </c>
      <c r="S47" s="9" t="s">
        <v>71</v>
      </c>
      <c r="T47" s="9" t="s">
        <v>229</v>
      </c>
      <c r="U47" s="11">
        <v>17.46</v>
      </c>
    </row>
    <row r="48" spans="1:21" x14ac:dyDescent="0.3">
      <c r="A48" s="4">
        <v>47</v>
      </c>
      <c r="B48" s="5" t="s">
        <v>230</v>
      </c>
      <c r="C48" s="6">
        <v>42297</v>
      </c>
      <c r="D48" s="6" t="str">
        <f t="shared" si="0"/>
        <v>Oct</v>
      </c>
      <c r="E48" s="12">
        <f t="shared" si="1"/>
        <v>2015</v>
      </c>
      <c r="F48" s="6">
        <v>42302</v>
      </c>
      <c r="G48" s="12">
        <f t="shared" si="2"/>
        <v>5</v>
      </c>
      <c r="H48" s="5" t="s">
        <v>19</v>
      </c>
      <c r="I48" s="5" t="s">
        <v>231</v>
      </c>
      <c r="J48" s="5" t="s">
        <v>232</v>
      </c>
      <c r="K48" s="5" t="s">
        <v>22</v>
      </c>
      <c r="L48" s="5" t="s">
        <v>23</v>
      </c>
      <c r="M48" s="5" t="s">
        <v>233</v>
      </c>
      <c r="N48" s="5" t="s">
        <v>234</v>
      </c>
      <c r="O48" s="5">
        <v>48185</v>
      </c>
      <c r="P48" s="5" t="s">
        <v>101</v>
      </c>
      <c r="Q48" s="5" t="s">
        <v>235</v>
      </c>
      <c r="R48" s="5" t="s">
        <v>42</v>
      </c>
      <c r="S48" s="5" t="s">
        <v>55</v>
      </c>
      <c r="T48" s="5" t="s">
        <v>236</v>
      </c>
      <c r="U48" s="7">
        <v>211.96</v>
      </c>
    </row>
    <row r="49" spans="1:21" x14ac:dyDescent="0.3">
      <c r="A49" s="8">
        <v>48</v>
      </c>
      <c r="B49" s="9" t="s">
        <v>237</v>
      </c>
      <c r="C49" s="10">
        <v>42906</v>
      </c>
      <c r="D49" s="6" t="str">
        <f t="shared" si="0"/>
        <v>Jun</v>
      </c>
      <c r="E49" s="12">
        <f t="shared" si="1"/>
        <v>2017</v>
      </c>
      <c r="F49" s="10">
        <v>42911</v>
      </c>
      <c r="G49" s="12">
        <f t="shared" si="2"/>
        <v>5</v>
      </c>
      <c r="H49" s="9" t="s">
        <v>46</v>
      </c>
      <c r="I49" s="9" t="s">
        <v>238</v>
      </c>
      <c r="J49" s="9" t="s">
        <v>239</v>
      </c>
      <c r="K49" s="9" t="s">
        <v>22</v>
      </c>
      <c r="L49" s="9" t="s">
        <v>23</v>
      </c>
      <c r="M49" s="9" t="s">
        <v>240</v>
      </c>
      <c r="N49" s="9" t="s">
        <v>241</v>
      </c>
      <c r="O49" s="9">
        <v>19901</v>
      </c>
      <c r="P49" s="9" t="s">
        <v>144</v>
      </c>
      <c r="Q49" s="9" t="s">
        <v>242</v>
      </c>
      <c r="R49" s="9" t="s">
        <v>67</v>
      </c>
      <c r="S49" s="9" t="s">
        <v>157</v>
      </c>
      <c r="T49" s="9" t="s">
        <v>243</v>
      </c>
      <c r="U49" s="11">
        <v>45</v>
      </c>
    </row>
    <row r="50" spans="1:21" x14ac:dyDescent="0.3">
      <c r="A50" s="4">
        <v>49</v>
      </c>
      <c r="B50" s="5" t="s">
        <v>237</v>
      </c>
      <c r="C50" s="6">
        <v>42906</v>
      </c>
      <c r="D50" s="6" t="str">
        <f t="shared" si="0"/>
        <v>Jun</v>
      </c>
      <c r="E50" s="12">
        <f t="shared" si="1"/>
        <v>2017</v>
      </c>
      <c r="F50" s="6">
        <v>42911</v>
      </c>
      <c r="G50" s="12">
        <f t="shared" si="2"/>
        <v>5</v>
      </c>
      <c r="H50" s="5" t="s">
        <v>46</v>
      </c>
      <c r="I50" s="5" t="s">
        <v>238</v>
      </c>
      <c r="J50" s="5" t="s">
        <v>239</v>
      </c>
      <c r="K50" s="5" t="s">
        <v>22</v>
      </c>
      <c r="L50" s="5" t="s">
        <v>23</v>
      </c>
      <c r="M50" s="5" t="s">
        <v>240</v>
      </c>
      <c r="N50" s="5" t="s">
        <v>241</v>
      </c>
      <c r="O50" s="5">
        <v>19901</v>
      </c>
      <c r="P50" s="5" t="s">
        <v>144</v>
      </c>
      <c r="Q50" s="5" t="s">
        <v>244</v>
      </c>
      <c r="R50" s="5" t="s">
        <v>67</v>
      </c>
      <c r="S50" s="5" t="s">
        <v>68</v>
      </c>
      <c r="T50" s="5" t="s">
        <v>245</v>
      </c>
      <c r="U50" s="7">
        <v>21.8</v>
      </c>
    </row>
    <row r="51" spans="1:21" x14ac:dyDescent="0.3">
      <c r="A51" s="8">
        <v>50</v>
      </c>
      <c r="B51" s="9" t="s">
        <v>246</v>
      </c>
      <c r="C51" s="10">
        <v>42478</v>
      </c>
      <c r="D51" s="6" t="str">
        <f t="shared" si="0"/>
        <v>Apr</v>
      </c>
      <c r="E51" s="12">
        <f t="shared" si="1"/>
        <v>2016</v>
      </c>
      <c r="F51" s="10">
        <v>42482</v>
      </c>
      <c r="G51" s="12">
        <f t="shared" si="2"/>
        <v>4</v>
      </c>
      <c r="H51" s="9" t="s">
        <v>46</v>
      </c>
      <c r="I51" s="9" t="s">
        <v>247</v>
      </c>
      <c r="J51" s="9" t="s">
        <v>248</v>
      </c>
      <c r="K51" s="9" t="s">
        <v>22</v>
      </c>
      <c r="L51" s="9" t="s">
        <v>23</v>
      </c>
      <c r="M51" s="9" t="s">
        <v>249</v>
      </c>
      <c r="N51" s="9" t="s">
        <v>250</v>
      </c>
      <c r="O51" s="9">
        <v>47150</v>
      </c>
      <c r="P51" s="9" t="s">
        <v>101</v>
      </c>
      <c r="Q51" s="9" t="s">
        <v>251</v>
      </c>
      <c r="R51" s="9" t="s">
        <v>42</v>
      </c>
      <c r="S51" s="9" t="s">
        <v>71</v>
      </c>
      <c r="T51" s="9" t="s">
        <v>252</v>
      </c>
      <c r="U51" s="11">
        <v>38.22</v>
      </c>
    </row>
    <row r="52" spans="1:21" x14ac:dyDescent="0.3">
      <c r="A52" s="4">
        <v>51</v>
      </c>
      <c r="B52" s="5" t="s">
        <v>246</v>
      </c>
      <c r="C52" s="6">
        <v>42478</v>
      </c>
      <c r="D52" s="6" t="str">
        <f t="shared" si="0"/>
        <v>Apr</v>
      </c>
      <c r="E52" s="12">
        <f t="shared" si="1"/>
        <v>2016</v>
      </c>
      <c r="F52" s="6">
        <v>42482</v>
      </c>
      <c r="G52" s="12">
        <f t="shared" si="2"/>
        <v>4</v>
      </c>
      <c r="H52" s="5" t="s">
        <v>46</v>
      </c>
      <c r="I52" s="5" t="s">
        <v>247</v>
      </c>
      <c r="J52" s="5" t="s">
        <v>248</v>
      </c>
      <c r="K52" s="5" t="s">
        <v>22</v>
      </c>
      <c r="L52" s="5" t="s">
        <v>23</v>
      </c>
      <c r="M52" s="5" t="s">
        <v>249</v>
      </c>
      <c r="N52" s="5" t="s">
        <v>250</v>
      </c>
      <c r="O52" s="5">
        <v>47150</v>
      </c>
      <c r="P52" s="5" t="s">
        <v>101</v>
      </c>
      <c r="Q52" s="5" t="s">
        <v>253</v>
      </c>
      <c r="R52" s="5" t="s">
        <v>42</v>
      </c>
      <c r="S52" s="5" t="s">
        <v>43</v>
      </c>
      <c r="T52" s="5" t="s">
        <v>254</v>
      </c>
      <c r="U52" s="7">
        <v>75.180000000000007</v>
      </c>
    </row>
    <row r="53" spans="1:21" x14ac:dyDescent="0.3">
      <c r="A53" s="8">
        <v>52</v>
      </c>
      <c r="B53" s="9" t="s">
        <v>246</v>
      </c>
      <c r="C53" s="10">
        <v>42478</v>
      </c>
      <c r="D53" s="6" t="str">
        <f t="shared" si="0"/>
        <v>Apr</v>
      </c>
      <c r="E53" s="12">
        <f t="shared" si="1"/>
        <v>2016</v>
      </c>
      <c r="F53" s="10">
        <v>42482</v>
      </c>
      <c r="G53" s="12">
        <f t="shared" si="2"/>
        <v>4</v>
      </c>
      <c r="H53" s="9" t="s">
        <v>46</v>
      </c>
      <c r="I53" s="9" t="s">
        <v>247</v>
      </c>
      <c r="J53" s="9" t="s">
        <v>248</v>
      </c>
      <c r="K53" s="9" t="s">
        <v>22</v>
      </c>
      <c r="L53" s="9" t="s">
        <v>23</v>
      </c>
      <c r="M53" s="9" t="s">
        <v>249</v>
      </c>
      <c r="N53" s="9" t="s">
        <v>250</v>
      </c>
      <c r="O53" s="9">
        <v>47150</v>
      </c>
      <c r="P53" s="9" t="s">
        <v>101</v>
      </c>
      <c r="Q53" s="9" t="s">
        <v>255</v>
      </c>
      <c r="R53" s="9" t="s">
        <v>28</v>
      </c>
      <c r="S53" s="9" t="s">
        <v>61</v>
      </c>
      <c r="T53" s="9" t="s">
        <v>256</v>
      </c>
      <c r="U53" s="11">
        <v>6.16</v>
      </c>
    </row>
    <row r="54" spans="1:21" x14ac:dyDescent="0.3">
      <c r="A54" s="4">
        <v>53</v>
      </c>
      <c r="B54" s="5" t="s">
        <v>246</v>
      </c>
      <c r="C54" s="6">
        <v>42478</v>
      </c>
      <c r="D54" s="6" t="str">
        <f t="shared" si="0"/>
        <v>Apr</v>
      </c>
      <c r="E54" s="12">
        <f t="shared" si="1"/>
        <v>2016</v>
      </c>
      <c r="F54" s="6">
        <v>42482</v>
      </c>
      <c r="G54" s="12">
        <f t="shared" si="2"/>
        <v>4</v>
      </c>
      <c r="H54" s="5" t="s">
        <v>46</v>
      </c>
      <c r="I54" s="5" t="s">
        <v>247</v>
      </c>
      <c r="J54" s="5" t="s">
        <v>248</v>
      </c>
      <c r="K54" s="5" t="s">
        <v>22</v>
      </c>
      <c r="L54" s="5" t="s">
        <v>23</v>
      </c>
      <c r="M54" s="5" t="s">
        <v>249</v>
      </c>
      <c r="N54" s="5" t="s">
        <v>250</v>
      </c>
      <c r="O54" s="5">
        <v>47150</v>
      </c>
      <c r="P54" s="5" t="s">
        <v>101</v>
      </c>
      <c r="Q54" s="5" t="s">
        <v>257</v>
      </c>
      <c r="R54" s="5" t="s">
        <v>28</v>
      </c>
      <c r="S54" s="5" t="s">
        <v>32</v>
      </c>
      <c r="T54" s="5" t="s">
        <v>258</v>
      </c>
      <c r="U54" s="7">
        <v>89.99</v>
      </c>
    </row>
    <row r="55" spans="1:21" x14ac:dyDescent="0.3">
      <c r="A55" s="8">
        <v>54</v>
      </c>
      <c r="B55" s="9" t="s">
        <v>259</v>
      </c>
      <c r="C55" s="10">
        <v>43080</v>
      </c>
      <c r="D55" s="6" t="str">
        <f t="shared" si="0"/>
        <v>Dec</v>
      </c>
      <c r="E55" s="12">
        <f t="shared" si="1"/>
        <v>2017</v>
      </c>
      <c r="F55" s="10">
        <v>43086</v>
      </c>
      <c r="G55" s="12">
        <f t="shared" si="2"/>
        <v>6</v>
      </c>
      <c r="H55" s="9" t="s">
        <v>46</v>
      </c>
      <c r="I55" s="9" t="s">
        <v>260</v>
      </c>
      <c r="J55" s="9" t="s">
        <v>261</v>
      </c>
      <c r="K55" s="9" t="s">
        <v>37</v>
      </c>
      <c r="L55" s="9" t="s">
        <v>23</v>
      </c>
      <c r="M55" s="9" t="s">
        <v>262</v>
      </c>
      <c r="N55" s="9" t="s">
        <v>263</v>
      </c>
      <c r="O55" s="9">
        <v>10024</v>
      </c>
      <c r="P55" s="9" t="s">
        <v>144</v>
      </c>
      <c r="Q55" s="9" t="s">
        <v>264</v>
      </c>
      <c r="R55" s="9" t="s">
        <v>42</v>
      </c>
      <c r="S55" s="9" t="s">
        <v>265</v>
      </c>
      <c r="T55" s="9" t="s">
        <v>266</v>
      </c>
      <c r="U55" s="11">
        <v>15.26</v>
      </c>
    </row>
    <row r="56" spans="1:21" x14ac:dyDescent="0.3">
      <c r="A56" s="4">
        <v>55</v>
      </c>
      <c r="B56" s="5" t="s">
        <v>259</v>
      </c>
      <c r="C56" s="6">
        <v>43080</v>
      </c>
      <c r="D56" s="6" t="str">
        <f t="shared" si="0"/>
        <v>Dec</v>
      </c>
      <c r="E56" s="12">
        <f t="shared" si="1"/>
        <v>2017</v>
      </c>
      <c r="F56" s="6">
        <v>43086</v>
      </c>
      <c r="G56" s="12">
        <f t="shared" si="2"/>
        <v>6</v>
      </c>
      <c r="H56" s="5" t="s">
        <v>46</v>
      </c>
      <c r="I56" s="5" t="s">
        <v>260</v>
      </c>
      <c r="J56" s="5" t="s">
        <v>261</v>
      </c>
      <c r="K56" s="5" t="s">
        <v>37</v>
      </c>
      <c r="L56" s="5" t="s">
        <v>23</v>
      </c>
      <c r="M56" s="5" t="s">
        <v>262</v>
      </c>
      <c r="N56" s="5" t="s">
        <v>263</v>
      </c>
      <c r="O56" s="5">
        <v>10024</v>
      </c>
      <c r="P56" s="5" t="s">
        <v>144</v>
      </c>
      <c r="Q56" s="5" t="s">
        <v>267</v>
      </c>
      <c r="R56" s="5" t="s">
        <v>67</v>
      </c>
      <c r="S56" s="5" t="s">
        <v>68</v>
      </c>
      <c r="T56" s="5" t="s">
        <v>268</v>
      </c>
      <c r="U56" s="7">
        <v>1029.95</v>
      </c>
    </row>
    <row r="57" spans="1:21" x14ac:dyDescent="0.3">
      <c r="A57" s="8">
        <v>56</v>
      </c>
      <c r="B57" s="9" t="s">
        <v>269</v>
      </c>
      <c r="C57" s="10">
        <v>42903</v>
      </c>
      <c r="D57" s="6" t="str">
        <f t="shared" si="0"/>
        <v>Jun</v>
      </c>
      <c r="E57" s="12">
        <f t="shared" si="1"/>
        <v>2017</v>
      </c>
      <c r="F57" s="10">
        <v>42904</v>
      </c>
      <c r="G57" s="12">
        <f t="shared" si="2"/>
        <v>1</v>
      </c>
      <c r="H57" s="9" t="s">
        <v>184</v>
      </c>
      <c r="I57" s="9" t="s">
        <v>270</v>
      </c>
      <c r="J57" s="9" t="s">
        <v>271</v>
      </c>
      <c r="K57" s="9" t="s">
        <v>22</v>
      </c>
      <c r="L57" s="9" t="s">
        <v>23</v>
      </c>
      <c r="M57" s="9" t="s">
        <v>272</v>
      </c>
      <c r="N57" s="9" t="s">
        <v>263</v>
      </c>
      <c r="O57" s="9">
        <v>12180</v>
      </c>
      <c r="P57" s="9" t="s">
        <v>144</v>
      </c>
      <c r="Q57" s="9" t="s">
        <v>273</v>
      </c>
      <c r="R57" s="9" t="s">
        <v>42</v>
      </c>
      <c r="S57" s="9" t="s">
        <v>55</v>
      </c>
      <c r="T57" s="9" t="s">
        <v>274</v>
      </c>
      <c r="U57" s="11">
        <v>208.56</v>
      </c>
    </row>
    <row r="58" spans="1:21" x14ac:dyDescent="0.3">
      <c r="A58" s="4">
        <v>57</v>
      </c>
      <c r="B58" s="5" t="s">
        <v>269</v>
      </c>
      <c r="C58" s="6">
        <v>42903</v>
      </c>
      <c r="D58" s="6" t="str">
        <f t="shared" si="0"/>
        <v>Jun</v>
      </c>
      <c r="E58" s="12">
        <f t="shared" si="1"/>
        <v>2017</v>
      </c>
      <c r="F58" s="6">
        <v>42904</v>
      </c>
      <c r="G58" s="12">
        <f t="shared" si="2"/>
        <v>1</v>
      </c>
      <c r="H58" s="5" t="s">
        <v>184</v>
      </c>
      <c r="I58" s="5" t="s">
        <v>270</v>
      </c>
      <c r="J58" s="5" t="s">
        <v>271</v>
      </c>
      <c r="K58" s="5" t="s">
        <v>22</v>
      </c>
      <c r="L58" s="5" t="s">
        <v>23</v>
      </c>
      <c r="M58" s="5" t="s">
        <v>272</v>
      </c>
      <c r="N58" s="5" t="s">
        <v>263</v>
      </c>
      <c r="O58" s="5">
        <v>12180</v>
      </c>
      <c r="P58" s="5" t="s">
        <v>144</v>
      </c>
      <c r="Q58" s="5" t="s">
        <v>275</v>
      </c>
      <c r="R58" s="5" t="s">
        <v>42</v>
      </c>
      <c r="S58" s="5" t="s">
        <v>86</v>
      </c>
      <c r="T58" s="5" t="s">
        <v>276</v>
      </c>
      <c r="U58" s="7">
        <v>32.4</v>
      </c>
    </row>
    <row r="59" spans="1:21" x14ac:dyDescent="0.3">
      <c r="A59" s="8">
        <v>58</v>
      </c>
      <c r="B59" s="9" t="s">
        <v>269</v>
      </c>
      <c r="C59" s="10">
        <v>42903</v>
      </c>
      <c r="D59" s="6" t="str">
        <f t="shared" si="0"/>
        <v>Jun</v>
      </c>
      <c r="E59" s="12">
        <f t="shared" si="1"/>
        <v>2017</v>
      </c>
      <c r="F59" s="10">
        <v>42904</v>
      </c>
      <c r="G59" s="12">
        <f t="shared" si="2"/>
        <v>1</v>
      </c>
      <c r="H59" s="9" t="s">
        <v>184</v>
      </c>
      <c r="I59" s="9" t="s">
        <v>270</v>
      </c>
      <c r="J59" s="9" t="s">
        <v>271</v>
      </c>
      <c r="K59" s="9" t="s">
        <v>22</v>
      </c>
      <c r="L59" s="9" t="s">
        <v>23</v>
      </c>
      <c r="M59" s="9" t="s">
        <v>272</v>
      </c>
      <c r="N59" s="9" t="s">
        <v>263</v>
      </c>
      <c r="O59" s="9">
        <v>12180</v>
      </c>
      <c r="P59" s="9" t="s">
        <v>144</v>
      </c>
      <c r="Q59" s="9" t="s">
        <v>277</v>
      </c>
      <c r="R59" s="9" t="s">
        <v>28</v>
      </c>
      <c r="S59" s="9" t="s">
        <v>32</v>
      </c>
      <c r="T59" s="9" t="s">
        <v>278</v>
      </c>
      <c r="U59" s="11">
        <v>319.41000000000003</v>
      </c>
    </row>
    <row r="60" spans="1:21" x14ac:dyDescent="0.3">
      <c r="A60" s="4">
        <v>59</v>
      </c>
      <c r="B60" s="5" t="s">
        <v>269</v>
      </c>
      <c r="C60" s="6">
        <v>42903</v>
      </c>
      <c r="D60" s="6" t="str">
        <f t="shared" si="0"/>
        <v>Jun</v>
      </c>
      <c r="E60" s="12">
        <f t="shared" si="1"/>
        <v>2017</v>
      </c>
      <c r="F60" s="6">
        <v>42904</v>
      </c>
      <c r="G60" s="12">
        <f t="shared" si="2"/>
        <v>1</v>
      </c>
      <c r="H60" s="5" t="s">
        <v>184</v>
      </c>
      <c r="I60" s="5" t="s">
        <v>270</v>
      </c>
      <c r="J60" s="5" t="s">
        <v>271</v>
      </c>
      <c r="K60" s="5" t="s">
        <v>22</v>
      </c>
      <c r="L60" s="5" t="s">
        <v>23</v>
      </c>
      <c r="M60" s="5" t="s">
        <v>272</v>
      </c>
      <c r="N60" s="5" t="s">
        <v>263</v>
      </c>
      <c r="O60" s="5">
        <v>12180</v>
      </c>
      <c r="P60" s="5" t="s">
        <v>144</v>
      </c>
      <c r="Q60" s="5" t="s">
        <v>279</v>
      </c>
      <c r="R60" s="5" t="s">
        <v>42</v>
      </c>
      <c r="S60" s="5" t="s">
        <v>86</v>
      </c>
      <c r="T60" s="5" t="s">
        <v>280</v>
      </c>
      <c r="U60" s="7">
        <v>14.56</v>
      </c>
    </row>
    <row r="61" spans="1:21" x14ac:dyDescent="0.3">
      <c r="A61" s="8">
        <v>60</v>
      </c>
      <c r="B61" s="9" t="s">
        <v>269</v>
      </c>
      <c r="C61" s="10">
        <v>42903</v>
      </c>
      <c r="D61" s="6" t="str">
        <f t="shared" si="0"/>
        <v>Jun</v>
      </c>
      <c r="E61" s="12">
        <f t="shared" si="1"/>
        <v>2017</v>
      </c>
      <c r="F61" s="10">
        <v>42904</v>
      </c>
      <c r="G61" s="12">
        <f t="shared" si="2"/>
        <v>1</v>
      </c>
      <c r="H61" s="9" t="s">
        <v>184</v>
      </c>
      <c r="I61" s="9" t="s">
        <v>270</v>
      </c>
      <c r="J61" s="9" t="s">
        <v>271</v>
      </c>
      <c r="K61" s="9" t="s">
        <v>22</v>
      </c>
      <c r="L61" s="9" t="s">
        <v>23</v>
      </c>
      <c r="M61" s="9" t="s">
        <v>272</v>
      </c>
      <c r="N61" s="9" t="s">
        <v>263</v>
      </c>
      <c r="O61" s="9">
        <v>12180</v>
      </c>
      <c r="P61" s="9" t="s">
        <v>144</v>
      </c>
      <c r="Q61" s="9" t="s">
        <v>242</v>
      </c>
      <c r="R61" s="9" t="s">
        <v>67</v>
      </c>
      <c r="S61" s="9" t="s">
        <v>157</v>
      </c>
      <c r="T61" s="9" t="s">
        <v>243</v>
      </c>
      <c r="U61" s="11">
        <v>30</v>
      </c>
    </row>
    <row r="62" spans="1:21" x14ac:dyDescent="0.3">
      <c r="A62" s="4">
        <v>61</v>
      </c>
      <c r="B62" s="5" t="s">
        <v>269</v>
      </c>
      <c r="C62" s="6">
        <v>42903</v>
      </c>
      <c r="D62" s="6" t="str">
        <f t="shared" si="0"/>
        <v>Jun</v>
      </c>
      <c r="E62" s="12">
        <f t="shared" si="1"/>
        <v>2017</v>
      </c>
      <c r="F62" s="6">
        <v>42904</v>
      </c>
      <c r="G62" s="12">
        <f t="shared" si="2"/>
        <v>1</v>
      </c>
      <c r="H62" s="5" t="s">
        <v>184</v>
      </c>
      <c r="I62" s="5" t="s">
        <v>270</v>
      </c>
      <c r="J62" s="5" t="s">
        <v>271</v>
      </c>
      <c r="K62" s="5" t="s">
        <v>22</v>
      </c>
      <c r="L62" s="5" t="s">
        <v>23</v>
      </c>
      <c r="M62" s="5" t="s">
        <v>272</v>
      </c>
      <c r="N62" s="5" t="s">
        <v>263</v>
      </c>
      <c r="O62" s="5">
        <v>12180</v>
      </c>
      <c r="P62" s="5" t="s">
        <v>144</v>
      </c>
      <c r="Q62" s="5" t="s">
        <v>281</v>
      </c>
      <c r="R62" s="5" t="s">
        <v>42</v>
      </c>
      <c r="S62" s="5" t="s">
        <v>71</v>
      </c>
      <c r="T62" s="5" t="s">
        <v>282</v>
      </c>
      <c r="U62" s="7">
        <v>48.48</v>
      </c>
    </row>
    <row r="63" spans="1:21" x14ac:dyDescent="0.3">
      <c r="A63" s="8">
        <v>62</v>
      </c>
      <c r="B63" s="9" t="s">
        <v>269</v>
      </c>
      <c r="C63" s="10">
        <v>42903</v>
      </c>
      <c r="D63" s="6" t="str">
        <f t="shared" si="0"/>
        <v>Jun</v>
      </c>
      <c r="E63" s="12">
        <f t="shared" si="1"/>
        <v>2017</v>
      </c>
      <c r="F63" s="10">
        <v>42904</v>
      </c>
      <c r="G63" s="12">
        <f t="shared" si="2"/>
        <v>1</v>
      </c>
      <c r="H63" s="9" t="s">
        <v>184</v>
      </c>
      <c r="I63" s="9" t="s">
        <v>270</v>
      </c>
      <c r="J63" s="9" t="s">
        <v>271</v>
      </c>
      <c r="K63" s="9" t="s">
        <v>22</v>
      </c>
      <c r="L63" s="9" t="s">
        <v>23</v>
      </c>
      <c r="M63" s="9" t="s">
        <v>272</v>
      </c>
      <c r="N63" s="9" t="s">
        <v>263</v>
      </c>
      <c r="O63" s="9">
        <v>12180</v>
      </c>
      <c r="P63" s="9" t="s">
        <v>144</v>
      </c>
      <c r="Q63" s="9" t="s">
        <v>283</v>
      </c>
      <c r="R63" s="9" t="s">
        <v>42</v>
      </c>
      <c r="S63" s="9" t="s">
        <v>64</v>
      </c>
      <c r="T63" s="9" t="s">
        <v>284</v>
      </c>
      <c r="U63" s="11">
        <v>1.68</v>
      </c>
    </row>
    <row r="64" spans="1:21" x14ac:dyDescent="0.3">
      <c r="A64" s="4">
        <v>63</v>
      </c>
      <c r="B64" s="5" t="s">
        <v>285</v>
      </c>
      <c r="C64" s="6">
        <v>42698</v>
      </c>
      <c r="D64" s="6" t="str">
        <f t="shared" si="0"/>
        <v>Nov</v>
      </c>
      <c r="E64" s="12">
        <f t="shared" si="1"/>
        <v>2016</v>
      </c>
      <c r="F64" s="6">
        <v>42704</v>
      </c>
      <c r="G64" s="12">
        <f t="shared" si="2"/>
        <v>6</v>
      </c>
      <c r="H64" s="5" t="s">
        <v>46</v>
      </c>
      <c r="I64" s="5" t="s">
        <v>286</v>
      </c>
      <c r="J64" s="5" t="s">
        <v>287</v>
      </c>
      <c r="K64" s="5" t="s">
        <v>22</v>
      </c>
      <c r="L64" s="5" t="s">
        <v>23</v>
      </c>
      <c r="M64" s="5" t="s">
        <v>38</v>
      </c>
      <c r="N64" s="5" t="s">
        <v>39</v>
      </c>
      <c r="O64" s="5">
        <v>90004</v>
      </c>
      <c r="P64" s="5" t="s">
        <v>40</v>
      </c>
      <c r="Q64" s="5" t="s">
        <v>288</v>
      </c>
      <c r="R64" s="5" t="s">
        <v>67</v>
      </c>
      <c r="S64" s="5" t="s">
        <v>157</v>
      </c>
      <c r="T64" s="5" t="s">
        <v>289</v>
      </c>
      <c r="U64" s="7">
        <v>13.98</v>
      </c>
    </row>
    <row r="65" spans="1:21" x14ac:dyDescent="0.3">
      <c r="A65" s="8">
        <v>64</v>
      </c>
      <c r="B65" s="9" t="s">
        <v>285</v>
      </c>
      <c r="C65" s="10">
        <v>42698</v>
      </c>
      <c r="D65" s="6" t="str">
        <f t="shared" si="0"/>
        <v>Nov</v>
      </c>
      <c r="E65" s="12">
        <f t="shared" si="1"/>
        <v>2016</v>
      </c>
      <c r="F65" s="10">
        <v>42704</v>
      </c>
      <c r="G65" s="12">
        <f t="shared" si="2"/>
        <v>6</v>
      </c>
      <c r="H65" s="9" t="s">
        <v>46</v>
      </c>
      <c r="I65" s="9" t="s">
        <v>286</v>
      </c>
      <c r="J65" s="9" t="s">
        <v>287</v>
      </c>
      <c r="K65" s="9" t="s">
        <v>22</v>
      </c>
      <c r="L65" s="9" t="s">
        <v>23</v>
      </c>
      <c r="M65" s="9" t="s">
        <v>38</v>
      </c>
      <c r="N65" s="9" t="s">
        <v>39</v>
      </c>
      <c r="O65" s="9">
        <v>90004</v>
      </c>
      <c r="P65" s="9" t="s">
        <v>40</v>
      </c>
      <c r="Q65" s="9" t="s">
        <v>290</v>
      </c>
      <c r="R65" s="9" t="s">
        <v>42</v>
      </c>
      <c r="S65" s="9" t="s">
        <v>71</v>
      </c>
      <c r="T65" s="9" t="s">
        <v>291</v>
      </c>
      <c r="U65" s="11">
        <v>25.824000000000002</v>
      </c>
    </row>
    <row r="66" spans="1:21" x14ac:dyDescent="0.3">
      <c r="A66" s="4">
        <v>65</v>
      </c>
      <c r="B66" s="5" t="s">
        <v>285</v>
      </c>
      <c r="C66" s="6">
        <v>42698</v>
      </c>
      <c r="D66" s="6" t="str">
        <f t="shared" si="0"/>
        <v>Nov</v>
      </c>
      <c r="E66" s="12">
        <f t="shared" si="1"/>
        <v>2016</v>
      </c>
      <c r="F66" s="6">
        <v>42704</v>
      </c>
      <c r="G66" s="12">
        <f t="shared" si="2"/>
        <v>6</v>
      </c>
      <c r="H66" s="5" t="s">
        <v>46</v>
      </c>
      <c r="I66" s="5" t="s">
        <v>286</v>
      </c>
      <c r="J66" s="5" t="s">
        <v>287</v>
      </c>
      <c r="K66" s="5" t="s">
        <v>22</v>
      </c>
      <c r="L66" s="5" t="s">
        <v>23</v>
      </c>
      <c r="M66" s="5" t="s">
        <v>38</v>
      </c>
      <c r="N66" s="5" t="s">
        <v>39</v>
      </c>
      <c r="O66" s="5">
        <v>90004</v>
      </c>
      <c r="P66" s="5" t="s">
        <v>40</v>
      </c>
      <c r="Q66" s="5" t="s">
        <v>292</v>
      </c>
      <c r="R66" s="5" t="s">
        <v>42</v>
      </c>
      <c r="S66" s="5" t="s">
        <v>86</v>
      </c>
      <c r="T66" s="5" t="s">
        <v>293</v>
      </c>
      <c r="U66" s="7">
        <v>146.72999999999999</v>
      </c>
    </row>
    <row r="67" spans="1:21" x14ac:dyDescent="0.3">
      <c r="A67" s="8">
        <v>66</v>
      </c>
      <c r="B67" s="9" t="s">
        <v>285</v>
      </c>
      <c r="C67" s="10">
        <v>42698</v>
      </c>
      <c r="D67" s="6" t="str">
        <f t="shared" ref="D67:D130" si="3">TEXT(C67,"MMM")</f>
        <v>Nov</v>
      </c>
      <c r="E67" s="12">
        <f t="shared" ref="E67:E130" si="4">YEAR(C67)</f>
        <v>2016</v>
      </c>
      <c r="F67" s="10">
        <v>42704</v>
      </c>
      <c r="G67" s="12">
        <f t="shared" ref="G67:G130" si="5">DATEDIF(C67,F67,"D")</f>
        <v>6</v>
      </c>
      <c r="H67" s="9" t="s">
        <v>46</v>
      </c>
      <c r="I67" s="9" t="s">
        <v>286</v>
      </c>
      <c r="J67" s="9" t="s">
        <v>287</v>
      </c>
      <c r="K67" s="9" t="s">
        <v>22</v>
      </c>
      <c r="L67" s="9" t="s">
        <v>23</v>
      </c>
      <c r="M67" s="9" t="s">
        <v>38</v>
      </c>
      <c r="N67" s="9" t="s">
        <v>39</v>
      </c>
      <c r="O67" s="9">
        <v>90004</v>
      </c>
      <c r="P67" s="9" t="s">
        <v>40</v>
      </c>
      <c r="Q67" s="9" t="s">
        <v>294</v>
      </c>
      <c r="R67" s="9" t="s">
        <v>28</v>
      </c>
      <c r="S67" s="9" t="s">
        <v>61</v>
      </c>
      <c r="T67" s="9" t="s">
        <v>295</v>
      </c>
      <c r="U67" s="11">
        <v>79.760000000000005</v>
      </c>
    </row>
    <row r="68" spans="1:21" x14ac:dyDescent="0.3">
      <c r="A68" s="4">
        <v>67</v>
      </c>
      <c r="B68" s="5" t="s">
        <v>296</v>
      </c>
      <c r="C68" s="6">
        <v>42490</v>
      </c>
      <c r="D68" s="6" t="str">
        <f t="shared" si="3"/>
        <v>Apr</v>
      </c>
      <c r="E68" s="12">
        <f t="shared" si="4"/>
        <v>2016</v>
      </c>
      <c r="F68" s="6">
        <v>42495</v>
      </c>
      <c r="G68" s="12">
        <f t="shared" si="5"/>
        <v>5</v>
      </c>
      <c r="H68" s="5" t="s">
        <v>46</v>
      </c>
      <c r="I68" s="5" t="s">
        <v>297</v>
      </c>
      <c r="J68" s="5" t="s">
        <v>298</v>
      </c>
      <c r="K68" s="5" t="s">
        <v>98</v>
      </c>
      <c r="L68" s="5" t="s">
        <v>23</v>
      </c>
      <c r="M68" s="5" t="s">
        <v>299</v>
      </c>
      <c r="N68" s="5" t="s">
        <v>207</v>
      </c>
      <c r="O68" s="5">
        <v>60610</v>
      </c>
      <c r="P68" s="5" t="s">
        <v>101</v>
      </c>
      <c r="Q68" s="5" t="s">
        <v>300</v>
      </c>
      <c r="R68" s="5" t="s">
        <v>28</v>
      </c>
      <c r="S68" s="5" t="s">
        <v>32</v>
      </c>
      <c r="T68" s="5" t="s">
        <v>301</v>
      </c>
      <c r="U68" s="7">
        <v>213.11500000000001</v>
      </c>
    </row>
    <row r="69" spans="1:21" x14ac:dyDescent="0.3">
      <c r="A69" s="8">
        <v>68</v>
      </c>
      <c r="B69" s="9" t="s">
        <v>302</v>
      </c>
      <c r="C69" s="10">
        <v>42343</v>
      </c>
      <c r="D69" s="6" t="str">
        <f t="shared" si="3"/>
        <v>Dec</v>
      </c>
      <c r="E69" s="12">
        <f t="shared" si="4"/>
        <v>2015</v>
      </c>
      <c r="F69" s="10">
        <v>42348</v>
      </c>
      <c r="G69" s="12">
        <f t="shared" si="5"/>
        <v>5</v>
      </c>
      <c r="H69" s="9" t="s">
        <v>46</v>
      </c>
      <c r="I69" s="9" t="s">
        <v>303</v>
      </c>
      <c r="J69" s="9" t="s">
        <v>304</v>
      </c>
      <c r="K69" s="9" t="s">
        <v>37</v>
      </c>
      <c r="L69" s="9" t="s">
        <v>23</v>
      </c>
      <c r="M69" s="9" t="s">
        <v>305</v>
      </c>
      <c r="N69" s="9" t="s">
        <v>306</v>
      </c>
      <c r="O69" s="9">
        <v>85234</v>
      </c>
      <c r="P69" s="9" t="s">
        <v>40</v>
      </c>
      <c r="Q69" s="9" t="s">
        <v>307</v>
      </c>
      <c r="R69" s="9" t="s">
        <v>42</v>
      </c>
      <c r="S69" s="9" t="s">
        <v>64</v>
      </c>
      <c r="T69" s="9" t="s">
        <v>308</v>
      </c>
      <c r="U69" s="11">
        <v>1113.0239999999999</v>
      </c>
    </row>
    <row r="70" spans="1:21" x14ac:dyDescent="0.3">
      <c r="A70" s="4">
        <v>69</v>
      </c>
      <c r="B70" s="5" t="s">
        <v>302</v>
      </c>
      <c r="C70" s="6">
        <v>42343</v>
      </c>
      <c r="D70" s="6" t="str">
        <f t="shared" si="3"/>
        <v>Dec</v>
      </c>
      <c r="E70" s="12">
        <f t="shared" si="4"/>
        <v>2015</v>
      </c>
      <c r="F70" s="6">
        <v>42348</v>
      </c>
      <c r="G70" s="12">
        <f t="shared" si="5"/>
        <v>5</v>
      </c>
      <c r="H70" s="5" t="s">
        <v>46</v>
      </c>
      <c r="I70" s="5" t="s">
        <v>303</v>
      </c>
      <c r="J70" s="5" t="s">
        <v>304</v>
      </c>
      <c r="K70" s="5" t="s">
        <v>37</v>
      </c>
      <c r="L70" s="5" t="s">
        <v>23</v>
      </c>
      <c r="M70" s="5" t="s">
        <v>305</v>
      </c>
      <c r="N70" s="5" t="s">
        <v>306</v>
      </c>
      <c r="O70" s="5">
        <v>85234</v>
      </c>
      <c r="P70" s="5" t="s">
        <v>40</v>
      </c>
      <c r="Q70" s="5" t="s">
        <v>309</v>
      </c>
      <c r="R70" s="5" t="s">
        <v>67</v>
      </c>
      <c r="S70" s="5" t="s">
        <v>68</v>
      </c>
      <c r="T70" s="5" t="s">
        <v>310</v>
      </c>
      <c r="U70" s="7">
        <v>167.96799999999999</v>
      </c>
    </row>
    <row r="71" spans="1:21" x14ac:dyDescent="0.3">
      <c r="A71" s="8">
        <v>70</v>
      </c>
      <c r="B71" s="9" t="s">
        <v>311</v>
      </c>
      <c r="C71" s="10">
        <v>42890</v>
      </c>
      <c r="D71" s="6" t="str">
        <f t="shared" si="3"/>
        <v>Jun</v>
      </c>
      <c r="E71" s="12">
        <f t="shared" si="4"/>
        <v>2017</v>
      </c>
      <c r="F71" s="10">
        <v>42892</v>
      </c>
      <c r="G71" s="12">
        <f t="shared" si="5"/>
        <v>2</v>
      </c>
      <c r="H71" s="9" t="s">
        <v>184</v>
      </c>
      <c r="I71" s="9" t="s">
        <v>312</v>
      </c>
      <c r="J71" s="9" t="s">
        <v>313</v>
      </c>
      <c r="K71" s="9" t="s">
        <v>22</v>
      </c>
      <c r="L71" s="9" t="s">
        <v>23</v>
      </c>
      <c r="M71" s="9" t="s">
        <v>314</v>
      </c>
      <c r="N71" s="9" t="s">
        <v>315</v>
      </c>
      <c r="O71" s="9">
        <v>22153</v>
      </c>
      <c r="P71" s="9" t="s">
        <v>26</v>
      </c>
      <c r="Q71" s="9" t="s">
        <v>316</v>
      </c>
      <c r="R71" s="9" t="s">
        <v>42</v>
      </c>
      <c r="S71" s="9" t="s">
        <v>86</v>
      </c>
      <c r="T71" s="9" t="s">
        <v>317</v>
      </c>
      <c r="U71" s="11">
        <v>75.88</v>
      </c>
    </row>
    <row r="72" spans="1:21" x14ac:dyDescent="0.3">
      <c r="A72" s="4">
        <v>71</v>
      </c>
      <c r="B72" s="5" t="s">
        <v>318</v>
      </c>
      <c r="C72" s="6">
        <v>42996</v>
      </c>
      <c r="D72" s="6" t="str">
        <f t="shared" si="3"/>
        <v>Sep</v>
      </c>
      <c r="E72" s="12">
        <f t="shared" si="4"/>
        <v>2017</v>
      </c>
      <c r="F72" s="6">
        <v>43001</v>
      </c>
      <c r="G72" s="12">
        <f t="shared" si="5"/>
        <v>5</v>
      </c>
      <c r="H72" s="5" t="s">
        <v>46</v>
      </c>
      <c r="I72" s="5" t="s">
        <v>319</v>
      </c>
      <c r="J72" s="5" t="s">
        <v>320</v>
      </c>
      <c r="K72" s="5" t="s">
        <v>22</v>
      </c>
      <c r="L72" s="5" t="s">
        <v>23</v>
      </c>
      <c r="M72" s="5" t="s">
        <v>262</v>
      </c>
      <c r="N72" s="5" t="s">
        <v>263</v>
      </c>
      <c r="O72" s="5">
        <v>10009</v>
      </c>
      <c r="P72" s="5" t="s">
        <v>144</v>
      </c>
      <c r="Q72" s="5" t="s">
        <v>321</v>
      </c>
      <c r="R72" s="5" t="s">
        <v>42</v>
      </c>
      <c r="S72" s="5" t="s">
        <v>71</v>
      </c>
      <c r="T72" s="5" t="s">
        <v>322</v>
      </c>
      <c r="U72" s="7">
        <v>4.6159999999999997</v>
      </c>
    </row>
    <row r="73" spans="1:21" x14ac:dyDescent="0.3">
      <c r="A73" s="8">
        <v>72</v>
      </c>
      <c r="B73" s="9" t="s">
        <v>323</v>
      </c>
      <c r="C73" s="10">
        <v>43357</v>
      </c>
      <c r="D73" s="6" t="str">
        <f t="shared" si="3"/>
        <v>Sep</v>
      </c>
      <c r="E73" s="12">
        <f t="shared" si="4"/>
        <v>2018</v>
      </c>
      <c r="F73" s="10">
        <v>43360</v>
      </c>
      <c r="G73" s="12">
        <f t="shared" si="5"/>
        <v>3</v>
      </c>
      <c r="H73" s="9" t="s">
        <v>19</v>
      </c>
      <c r="I73" s="9" t="s">
        <v>160</v>
      </c>
      <c r="J73" s="9" t="s">
        <v>161</v>
      </c>
      <c r="K73" s="9" t="s">
        <v>22</v>
      </c>
      <c r="L73" s="9" t="s">
        <v>23</v>
      </c>
      <c r="M73" s="9" t="s">
        <v>324</v>
      </c>
      <c r="N73" s="9" t="s">
        <v>234</v>
      </c>
      <c r="O73" s="9">
        <v>49201</v>
      </c>
      <c r="P73" s="9" t="s">
        <v>101</v>
      </c>
      <c r="Q73" s="9" t="s">
        <v>325</v>
      </c>
      <c r="R73" s="9" t="s">
        <v>42</v>
      </c>
      <c r="S73" s="9" t="s">
        <v>86</v>
      </c>
      <c r="T73" s="9" t="s">
        <v>326</v>
      </c>
      <c r="U73" s="11">
        <v>19.05</v>
      </c>
    </row>
    <row r="74" spans="1:21" x14ac:dyDescent="0.3">
      <c r="A74" s="4">
        <v>73</v>
      </c>
      <c r="B74" s="5" t="s">
        <v>327</v>
      </c>
      <c r="C74" s="6">
        <v>42486</v>
      </c>
      <c r="D74" s="6" t="str">
        <f t="shared" si="3"/>
        <v>Apr</v>
      </c>
      <c r="E74" s="12">
        <f t="shared" si="4"/>
        <v>2016</v>
      </c>
      <c r="F74" s="6">
        <v>42492</v>
      </c>
      <c r="G74" s="12">
        <f t="shared" si="5"/>
        <v>6</v>
      </c>
      <c r="H74" s="5" t="s">
        <v>46</v>
      </c>
      <c r="I74" s="5" t="s">
        <v>328</v>
      </c>
      <c r="J74" s="5" t="s">
        <v>329</v>
      </c>
      <c r="K74" s="5" t="s">
        <v>22</v>
      </c>
      <c r="L74" s="5" t="s">
        <v>23</v>
      </c>
      <c r="M74" s="5" t="s">
        <v>330</v>
      </c>
      <c r="N74" s="5" t="s">
        <v>331</v>
      </c>
      <c r="O74" s="5">
        <v>38109</v>
      </c>
      <c r="P74" s="5" t="s">
        <v>26</v>
      </c>
      <c r="Q74" s="5" t="s">
        <v>332</v>
      </c>
      <c r="R74" s="5" t="s">
        <v>28</v>
      </c>
      <c r="S74" s="5" t="s">
        <v>32</v>
      </c>
      <c r="T74" s="5" t="s">
        <v>333</v>
      </c>
      <c r="U74" s="7">
        <v>831.93600000000004</v>
      </c>
    </row>
    <row r="75" spans="1:21" x14ac:dyDescent="0.3">
      <c r="A75" s="8">
        <v>74</v>
      </c>
      <c r="B75" s="9" t="s">
        <v>327</v>
      </c>
      <c r="C75" s="10">
        <v>42486</v>
      </c>
      <c r="D75" s="6" t="str">
        <f t="shared" si="3"/>
        <v>Apr</v>
      </c>
      <c r="E75" s="12">
        <f t="shared" si="4"/>
        <v>2016</v>
      </c>
      <c r="F75" s="10">
        <v>42492</v>
      </c>
      <c r="G75" s="12">
        <f t="shared" si="5"/>
        <v>6</v>
      </c>
      <c r="H75" s="9" t="s">
        <v>46</v>
      </c>
      <c r="I75" s="9" t="s">
        <v>328</v>
      </c>
      <c r="J75" s="9" t="s">
        <v>329</v>
      </c>
      <c r="K75" s="9" t="s">
        <v>22</v>
      </c>
      <c r="L75" s="9" t="s">
        <v>23</v>
      </c>
      <c r="M75" s="9" t="s">
        <v>330</v>
      </c>
      <c r="N75" s="9" t="s">
        <v>331</v>
      </c>
      <c r="O75" s="9">
        <v>38109</v>
      </c>
      <c r="P75" s="9" t="s">
        <v>26</v>
      </c>
      <c r="Q75" s="9" t="s">
        <v>334</v>
      </c>
      <c r="R75" s="9" t="s">
        <v>28</v>
      </c>
      <c r="S75" s="9" t="s">
        <v>61</v>
      </c>
      <c r="T75" s="9" t="s">
        <v>335</v>
      </c>
      <c r="U75" s="11">
        <v>97.04</v>
      </c>
    </row>
    <row r="76" spans="1:21" x14ac:dyDescent="0.3">
      <c r="A76" s="4">
        <v>75</v>
      </c>
      <c r="B76" s="5" t="s">
        <v>327</v>
      </c>
      <c r="C76" s="6">
        <v>42486</v>
      </c>
      <c r="D76" s="6" t="str">
        <f t="shared" si="3"/>
        <v>Apr</v>
      </c>
      <c r="E76" s="12">
        <f t="shared" si="4"/>
        <v>2016</v>
      </c>
      <c r="F76" s="6">
        <v>42492</v>
      </c>
      <c r="G76" s="12">
        <f t="shared" si="5"/>
        <v>6</v>
      </c>
      <c r="H76" s="5" t="s">
        <v>46</v>
      </c>
      <c r="I76" s="5" t="s">
        <v>328</v>
      </c>
      <c r="J76" s="5" t="s">
        <v>329</v>
      </c>
      <c r="K76" s="5" t="s">
        <v>22</v>
      </c>
      <c r="L76" s="5" t="s">
        <v>23</v>
      </c>
      <c r="M76" s="5" t="s">
        <v>330</v>
      </c>
      <c r="N76" s="5" t="s">
        <v>331</v>
      </c>
      <c r="O76" s="5">
        <v>38109</v>
      </c>
      <c r="P76" s="5" t="s">
        <v>26</v>
      </c>
      <c r="Q76" s="5" t="s">
        <v>336</v>
      </c>
      <c r="R76" s="5" t="s">
        <v>42</v>
      </c>
      <c r="S76" s="5" t="s">
        <v>55</v>
      </c>
      <c r="T76" s="5" t="s">
        <v>337</v>
      </c>
      <c r="U76" s="7">
        <v>72.784000000000006</v>
      </c>
    </row>
    <row r="77" spans="1:21" x14ac:dyDescent="0.3">
      <c r="A77" s="8">
        <v>76</v>
      </c>
      <c r="B77" s="9" t="s">
        <v>338</v>
      </c>
      <c r="C77" s="10">
        <v>43443</v>
      </c>
      <c r="D77" s="6" t="str">
        <f t="shared" si="3"/>
        <v>Dec</v>
      </c>
      <c r="E77" s="12">
        <f t="shared" si="4"/>
        <v>2018</v>
      </c>
      <c r="F77" s="10">
        <v>43445</v>
      </c>
      <c r="G77" s="12">
        <f t="shared" si="5"/>
        <v>2</v>
      </c>
      <c r="H77" s="9" t="s">
        <v>184</v>
      </c>
      <c r="I77" s="9" t="s">
        <v>339</v>
      </c>
      <c r="J77" s="9" t="s">
        <v>340</v>
      </c>
      <c r="K77" s="9" t="s">
        <v>37</v>
      </c>
      <c r="L77" s="9" t="s">
        <v>23</v>
      </c>
      <c r="M77" s="9" t="s">
        <v>180</v>
      </c>
      <c r="N77" s="9" t="s">
        <v>100</v>
      </c>
      <c r="O77" s="9">
        <v>77041</v>
      </c>
      <c r="P77" s="9" t="s">
        <v>101</v>
      </c>
      <c r="Q77" s="9" t="s">
        <v>341</v>
      </c>
      <c r="R77" s="9" t="s">
        <v>42</v>
      </c>
      <c r="S77" s="9" t="s">
        <v>71</v>
      </c>
      <c r="T77" s="9" t="s">
        <v>342</v>
      </c>
      <c r="U77" s="11">
        <v>1.248</v>
      </c>
    </row>
    <row r="78" spans="1:21" x14ac:dyDescent="0.3">
      <c r="A78" s="4">
        <v>77</v>
      </c>
      <c r="B78" s="5" t="s">
        <v>338</v>
      </c>
      <c r="C78" s="6">
        <v>43443</v>
      </c>
      <c r="D78" s="6" t="str">
        <f t="shared" si="3"/>
        <v>Dec</v>
      </c>
      <c r="E78" s="12">
        <f t="shared" si="4"/>
        <v>2018</v>
      </c>
      <c r="F78" s="6">
        <v>43445</v>
      </c>
      <c r="G78" s="12">
        <f t="shared" si="5"/>
        <v>2</v>
      </c>
      <c r="H78" s="5" t="s">
        <v>184</v>
      </c>
      <c r="I78" s="5" t="s">
        <v>339</v>
      </c>
      <c r="J78" s="5" t="s">
        <v>340</v>
      </c>
      <c r="K78" s="5" t="s">
        <v>37</v>
      </c>
      <c r="L78" s="5" t="s">
        <v>23</v>
      </c>
      <c r="M78" s="5" t="s">
        <v>180</v>
      </c>
      <c r="N78" s="5" t="s">
        <v>100</v>
      </c>
      <c r="O78" s="5">
        <v>77041</v>
      </c>
      <c r="P78" s="5" t="s">
        <v>101</v>
      </c>
      <c r="Q78" s="5" t="s">
        <v>343</v>
      </c>
      <c r="R78" s="5" t="s">
        <v>28</v>
      </c>
      <c r="S78" s="5" t="s">
        <v>61</v>
      </c>
      <c r="T78" s="5" t="s">
        <v>344</v>
      </c>
      <c r="U78" s="7">
        <v>9.7080000000000002</v>
      </c>
    </row>
    <row r="79" spans="1:21" x14ac:dyDescent="0.3">
      <c r="A79" s="8">
        <v>78</v>
      </c>
      <c r="B79" s="9" t="s">
        <v>338</v>
      </c>
      <c r="C79" s="10">
        <v>43443</v>
      </c>
      <c r="D79" s="6" t="str">
        <f t="shared" si="3"/>
        <v>Dec</v>
      </c>
      <c r="E79" s="12">
        <f t="shared" si="4"/>
        <v>2018</v>
      </c>
      <c r="F79" s="10">
        <v>43445</v>
      </c>
      <c r="G79" s="12">
        <f t="shared" si="5"/>
        <v>2</v>
      </c>
      <c r="H79" s="9" t="s">
        <v>184</v>
      </c>
      <c r="I79" s="9" t="s">
        <v>339</v>
      </c>
      <c r="J79" s="9" t="s">
        <v>340</v>
      </c>
      <c r="K79" s="9" t="s">
        <v>37</v>
      </c>
      <c r="L79" s="9" t="s">
        <v>23</v>
      </c>
      <c r="M79" s="9" t="s">
        <v>180</v>
      </c>
      <c r="N79" s="9" t="s">
        <v>100</v>
      </c>
      <c r="O79" s="9">
        <v>77041</v>
      </c>
      <c r="P79" s="9" t="s">
        <v>101</v>
      </c>
      <c r="Q79" s="9" t="s">
        <v>345</v>
      </c>
      <c r="R79" s="9" t="s">
        <v>42</v>
      </c>
      <c r="S79" s="9" t="s">
        <v>55</v>
      </c>
      <c r="T79" s="9" t="s">
        <v>346</v>
      </c>
      <c r="U79" s="11">
        <v>27.24</v>
      </c>
    </row>
    <row r="80" spans="1:21" x14ac:dyDescent="0.3">
      <c r="A80" s="4">
        <v>79</v>
      </c>
      <c r="B80" s="5" t="s">
        <v>347</v>
      </c>
      <c r="C80" s="6">
        <v>42334</v>
      </c>
      <c r="D80" s="6" t="str">
        <f t="shared" si="3"/>
        <v>Nov</v>
      </c>
      <c r="E80" s="12">
        <f t="shared" si="4"/>
        <v>2015</v>
      </c>
      <c r="F80" s="6">
        <v>42339</v>
      </c>
      <c r="G80" s="12">
        <f t="shared" si="5"/>
        <v>5</v>
      </c>
      <c r="H80" s="5" t="s">
        <v>19</v>
      </c>
      <c r="I80" s="5" t="s">
        <v>328</v>
      </c>
      <c r="J80" s="5" t="s">
        <v>329</v>
      </c>
      <c r="K80" s="5" t="s">
        <v>22</v>
      </c>
      <c r="L80" s="5" t="s">
        <v>23</v>
      </c>
      <c r="M80" s="5" t="s">
        <v>180</v>
      </c>
      <c r="N80" s="5" t="s">
        <v>100</v>
      </c>
      <c r="O80" s="5">
        <v>77070</v>
      </c>
      <c r="P80" s="5" t="s">
        <v>101</v>
      </c>
      <c r="Q80" s="5" t="s">
        <v>348</v>
      </c>
      <c r="R80" s="5" t="s">
        <v>28</v>
      </c>
      <c r="S80" s="5" t="s">
        <v>61</v>
      </c>
      <c r="T80" s="5" t="s">
        <v>349</v>
      </c>
      <c r="U80" s="7">
        <v>19.3</v>
      </c>
    </row>
    <row r="81" spans="1:21" x14ac:dyDescent="0.3">
      <c r="A81" s="8">
        <v>80</v>
      </c>
      <c r="B81" s="9" t="s">
        <v>350</v>
      </c>
      <c r="C81" s="10">
        <v>42898</v>
      </c>
      <c r="D81" s="6" t="str">
        <f t="shared" si="3"/>
        <v>Jun</v>
      </c>
      <c r="E81" s="12">
        <f t="shared" si="4"/>
        <v>2017</v>
      </c>
      <c r="F81" s="10">
        <v>42901</v>
      </c>
      <c r="G81" s="12">
        <f t="shared" si="5"/>
        <v>3</v>
      </c>
      <c r="H81" s="9" t="s">
        <v>184</v>
      </c>
      <c r="I81" s="9" t="s">
        <v>351</v>
      </c>
      <c r="J81" s="9" t="s">
        <v>352</v>
      </c>
      <c r="K81" s="9" t="s">
        <v>37</v>
      </c>
      <c r="L81" s="9" t="s">
        <v>23</v>
      </c>
      <c r="M81" s="9" t="s">
        <v>353</v>
      </c>
      <c r="N81" s="9" t="s">
        <v>354</v>
      </c>
      <c r="O81" s="9">
        <v>35601</v>
      </c>
      <c r="P81" s="9" t="s">
        <v>26</v>
      </c>
      <c r="Q81" s="9" t="s">
        <v>355</v>
      </c>
      <c r="R81" s="9" t="s">
        <v>42</v>
      </c>
      <c r="S81" s="9" t="s">
        <v>74</v>
      </c>
      <c r="T81" s="9" t="s">
        <v>356</v>
      </c>
      <c r="U81" s="11">
        <v>208.16</v>
      </c>
    </row>
    <row r="82" spans="1:21" x14ac:dyDescent="0.3">
      <c r="A82" s="4">
        <v>81</v>
      </c>
      <c r="B82" s="5" t="s">
        <v>350</v>
      </c>
      <c r="C82" s="6">
        <v>42898</v>
      </c>
      <c r="D82" s="6" t="str">
        <f t="shared" si="3"/>
        <v>Jun</v>
      </c>
      <c r="E82" s="12">
        <f t="shared" si="4"/>
        <v>2017</v>
      </c>
      <c r="F82" s="6">
        <v>42901</v>
      </c>
      <c r="G82" s="12">
        <f t="shared" si="5"/>
        <v>3</v>
      </c>
      <c r="H82" s="5" t="s">
        <v>184</v>
      </c>
      <c r="I82" s="5" t="s">
        <v>351</v>
      </c>
      <c r="J82" s="5" t="s">
        <v>352</v>
      </c>
      <c r="K82" s="5" t="s">
        <v>37</v>
      </c>
      <c r="L82" s="5" t="s">
        <v>23</v>
      </c>
      <c r="M82" s="5" t="s">
        <v>353</v>
      </c>
      <c r="N82" s="5" t="s">
        <v>354</v>
      </c>
      <c r="O82" s="5">
        <v>35601</v>
      </c>
      <c r="P82" s="5" t="s">
        <v>26</v>
      </c>
      <c r="Q82" s="5" t="s">
        <v>357</v>
      </c>
      <c r="R82" s="5" t="s">
        <v>42</v>
      </c>
      <c r="S82" s="5" t="s">
        <v>71</v>
      </c>
      <c r="T82" s="5" t="s">
        <v>358</v>
      </c>
      <c r="U82" s="7">
        <v>16.739999999999998</v>
      </c>
    </row>
    <row r="83" spans="1:21" x14ac:dyDescent="0.3">
      <c r="A83" s="8">
        <v>82</v>
      </c>
      <c r="B83" s="9" t="s">
        <v>359</v>
      </c>
      <c r="C83" s="10">
        <v>42289</v>
      </c>
      <c r="D83" s="6" t="str">
        <f t="shared" si="3"/>
        <v>Oct</v>
      </c>
      <c r="E83" s="12">
        <f t="shared" si="4"/>
        <v>2015</v>
      </c>
      <c r="F83" s="10">
        <v>42293</v>
      </c>
      <c r="G83" s="12">
        <f t="shared" si="5"/>
        <v>4</v>
      </c>
      <c r="H83" s="9" t="s">
        <v>46</v>
      </c>
      <c r="I83" s="9" t="s">
        <v>360</v>
      </c>
      <c r="J83" s="9" t="s">
        <v>361</v>
      </c>
      <c r="K83" s="9" t="s">
        <v>22</v>
      </c>
      <c r="L83" s="9" t="s">
        <v>23</v>
      </c>
      <c r="M83" s="9" t="s">
        <v>123</v>
      </c>
      <c r="N83" s="9" t="s">
        <v>39</v>
      </c>
      <c r="O83" s="9">
        <v>94122</v>
      </c>
      <c r="P83" s="9" t="s">
        <v>40</v>
      </c>
      <c r="Q83" s="9" t="s">
        <v>362</v>
      </c>
      <c r="R83" s="9" t="s">
        <v>42</v>
      </c>
      <c r="S83" s="9" t="s">
        <v>64</v>
      </c>
      <c r="T83" s="9" t="s">
        <v>363</v>
      </c>
      <c r="U83" s="11">
        <v>14.9</v>
      </c>
    </row>
    <row r="84" spans="1:21" x14ac:dyDescent="0.3">
      <c r="A84" s="4">
        <v>83</v>
      </c>
      <c r="B84" s="5" t="s">
        <v>359</v>
      </c>
      <c r="C84" s="6">
        <v>42289</v>
      </c>
      <c r="D84" s="6" t="str">
        <f t="shared" si="3"/>
        <v>Oct</v>
      </c>
      <c r="E84" s="12">
        <f t="shared" si="4"/>
        <v>2015</v>
      </c>
      <c r="F84" s="6">
        <v>42293</v>
      </c>
      <c r="G84" s="12">
        <f t="shared" si="5"/>
        <v>4</v>
      </c>
      <c r="H84" s="5" t="s">
        <v>46</v>
      </c>
      <c r="I84" s="5" t="s">
        <v>360</v>
      </c>
      <c r="J84" s="5" t="s">
        <v>361</v>
      </c>
      <c r="K84" s="5" t="s">
        <v>22</v>
      </c>
      <c r="L84" s="5" t="s">
        <v>23</v>
      </c>
      <c r="M84" s="5" t="s">
        <v>123</v>
      </c>
      <c r="N84" s="5" t="s">
        <v>39</v>
      </c>
      <c r="O84" s="5">
        <v>94122</v>
      </c>
      <c r="P84" s="5" t="s">
        <v>40</v>
      </c>
      <c r="Q84" s="5" t="s">
        <v>364</v>
      </c>
      <c r="R84" s="5" t="s">
        <v>42</v>
      </c>
      <c r="S84" s="5" t="s">
        <v>55</v>
      </c>
      <c r="T84" s="5" t="s">
        <v>365</v>
      </c>
      <c r="U84" s="7">
        <v>21.39</v>
      </c>
    </row>
    <row r="85" spans="1:21" x14ac:dyDescent="0.3">
      <c r="A85" s="8">
        <v>84</v>
      </c>
      <c r="B85" s="9" t="s">
        <v>366</v>
      </c>
      <c r="C85" s="10">
        <v>42616</v>
      </c>
      <c r="D85" s="6" t="str">
        <f t="shared" si="3"/>
        <v>Sep</v>
      </c>
      <c r="E85" s="12">
        <f t="shared" si="4"/>
        <v>2016</v>
      </c>
      <c r="F85" s="10">
        <v>42621</v>
      </c>
      <c r="G85" s="12">
        <f t="shared" si="5"/>
        <v>5</v>
      </c>
      <c r="H85" s="9" t="s">
        <v>46</v>
      </c>
      <c r="I85" s="9" t="s">
        <v>367</v>
      </c>
      <c r="J85" s="9" t="s">
        <v>368</v>
      </c>
      <c r="K85" s="9" t="s">
        <v>37</v>
      </c>
      <c r="L85" s="9" t="s">
        <v>23</v>
      </c>
      <c r="M85" s="9" t="s">
        <v>369</v>
      </c>
      <c r="N85" s="9" t="s">
        <v>84</v>
      </c>
      <c r="O85" s="9">
        <v>27707</v>
      </c>
      <c r="P85" s="9" t="s">
        <v>26</v>
      </c>
      <c r="Q85" s="9" t="s">
        <v>370</v>
      </c>
      <c r="R85" s="9" t="s">
        <v>42</v>
      </c>
      <c r="S85" s="9" t="s">
        <v>169</v>
      </c>
      <c r="T85" s="9" t="s">
        <v>371</v>
      </c>
      <c r="U85" s="11">
        <v>200.98400000000001</v>
      </c>
    </row>
    <row r="86" spans="1:21" x14ac:dyDescent="0.3">
      <c r="A86" s="4">
        <v>85</v>
      </c>
      <c r="B86" s="5" t="s">
        <v>372</v>
      </c>
      <c r="C86" s="6">
        <v>43417</v>
      </c>
      <c r="D86" s="6" t="str">
        <f t="shared" si="3"/>
        <v>Nov</v>
      </c>
      <c r="E86" s="12">
        <f t="shared" si="4"/>
        <v>2018</v>
      </c>
      <c r="F86" s="6">
        <v>43420</v>
      </c>
      <c r="G86" s="12">
        <f t="shared" si="5"/>
        <v>3</v>
      </c>
      <c r="H86" s="5" t="s">
        <v>184</v>
      </c>
      <c r="I86" s="5" t="s">
        <v>373</v>
      </c>
      <c r="J86" s="5" t="s">
        <v>374</v>
      </c>
      <c r="K86" s="5" t="s">
        <v>98</v>
      </c>
      <c r="L86" s="5" t="s">
        <v>23</v>
      </c>
      <c r="M86" s="5" t="s">
        <v>299</v>
      </c>
      <c r="N86" s="5" t="s">
        <v>207</v>
      </c>
      <c r="O86" s="5">
        <v>60623</v>
      </c>
      <c r="P86" s="5" t="s">
        <v>101</v>
      </c>
      <c r="Q86" s="5" t="s">
        <v>375</v>
      </c>
      <c r="R86" s="5" t="s">
        <v>42</v>
      </c>
      <c r="S86" s="5" t="s">
        <v>55</v>
      </c>
      <c r="T86" s="5" t="s">
        <v>376</v>
      </c>
      <c r="U86" s="7">
        <v>230.376</v>
      </c>
    </row>
    <row r="87" spans="1:21" x14ac:dyDescent="0.3">
      <c r="A87" s="8">
        <v>86</v>
      </c>
      <c r="B87" s="9" t="s">
        <v>377</v>
      </c>
      <c r="C87" s="10">
        <v>43248</v>
      </c>
      <c r="D87" s="6" t="str">
        <f t="shared" si="3"/>
        <v>May</v>
      </c>
      <c r="E87" s="12">
        <f t="shared" si="4"/>
        <v>2018</v>
      </c>
      <c r="F87" s="10">
        <v>43250</v>
      </c>
      <c r="G87" s="12">
        <f t="shared" si="5"/>
        <v>2</v>
      </c>
      <c r="H87" s="9" t="s">
        <v>19</v>
      </c>
      <c r="I87" s="9" t="s">
        <v>231</v>
      </c>
      <c r="J87" s="9" t="s">
        <v>232</v>
      </c>
      <c r="K87" s="9" t="s">
        <v>22</v>
      </c>
      <c r="L87" s="9" t="s">
        <v>23</v>
      </c>
      <c r="M87" s="9" t="s">
        <v>378</v>
      </c>
      <c r="N87" s="9" t="s">
        <v>379</v>
      </c>
      <c r="O87" s="9">
        <v>29203</v>
      </c>
      <c r="P87" s="9" t="s">
        <v>26</v>
      </c>
      <c r="Q87" s="9" t="s">
        <v>380</v>
      </c>
      <c r="R87" s="9" t="s">
        <v>28</v>
      </c>
      <c r="S87" s="9" t="s">
        <v>32</v>
      </c>
      <c r="T87" s="9" t="s">
        <v>381</v>
      </c>
      <c r="U87" s="11">
        <v>301.95999999999998</v>
      </c>
    </row>
    <row r="88" spans="1:21" x14ac:dyDescent="0.3">
      <c r="A88" s="4">
        <v>87</v>
      </c>
      <c r="B88" s="5" t="s">
        <v>382</v>
      </c>
      <c r="C88" s="6">
        <v>43399</v>
      </c>
      <c r="D88" s="6" t="str">
        <f t="shared" si="3"/>
        <v>Oct</v>
      </c>
      <c r="E88" s="12">
        <f t="shared" si="4"/>
        <v>2018</v>
      </c>
      <c r="F88" s="6">
        <v>43406</v>
      </c>
      <c r="G88" s="12">
        <f t="shared" si="5"/>
        <v>7</v>
      </c>
      <c r="H88" s="5" t="s">
        <v>46</v>
      </c>
      <c r="I88" s="5" t="s">
        <v>383</v>
      </c>
      <c r="J88" s="5" t="s">
        <v>384</v>
      </c>
      <c r="K88" s="5" t="s">
        <v>22</v>
      </c>
      <c r="L88" s="5" t="s">
        <v>23</v>
      </c>
      <c r="M88" s="5" t="s">
        <v>385</v>
      </c>
      <c r="N88" s="5" t="s">
        <v>225</v>
      </c>
      <c r="O88" s="5">
        <v>55901</v>
      </c>
      <c r="P88" s="5" t="s">
        <v>101</v>
      </c>
      <c r="Q88" s="5" t="s">
        <v>386</v>
      </c>
      <c r="R88" s="5" t="s">
        <v>67</v>
      </c>
      <c r="S88" s="5" t="s">
        <v>157</v>
      </c>
      <c r="T88" s="5" t="s">
        <v>387</v>
      </c>
      <c r="U88" s="7">
        <v>19.989999999999998</v>
      </c>
    </row>
    <row r="89" spans="1:21" x14ac:dyDescent="0.3">
      <c r="A89" s="8">
        <v>88</v>
      </c>
      <c r="B89" s="9" t="s">
        <v>382</v>
      </c>
      <c r="C89" s="10">
        <v>43399</v>
      </c>
      <c r="D89" s="6" t="str">
        <f t="shared" si="3"/>
        <v>Oct</v>
      </c>
      <c r="E89" s="12">
        <f t="shared" si="4"/>
        <v>2018</v>
      </c>
      <c r="F89" s="10">
        <v>43406</v>
      </c>
      <c r="G89" s="12">
        <f t="shared" si="5"/>
        <v>7</v>
      </c>
      <c r="H89" s="9" t="s">
        <v>46</v>
      </c>
      <c r="I89" s="9" t="s">
        <v>383</v>
      </c>
      <c r="J89" s="9" t="s">
        <v>384</v>
      </c>
      <c r="K89" s="9" t="s">
        <v>22</v>
      </c>
      <c r="L89" s="9" t="s">
        <v>23</v>
      </c>
      <c r="M89" s="9" t="s">
        <v>385</v>
      </c>
      <c r="N89" s="9" t="s">
        <v>225</v>
      </c>
      <c r="O89" s="9">
        <v>55901</v>
      </c>
      <c r="P89" s="9" t="s">
        <v>101</v>
      </c>
      <c r="Q89" s="9" t="s">
        <v>388</v>
      </c>
      <c r="R89" s="9" t="s">
        <v>42</v>
      </c>
      <c r="S89" s="9" t="s">
        <v>43</v>
      </c>
      <c r="T89" s="9" t="s">
        <v>389</v>
      </c>
      <c r="U89" s="11">
        <v>6.16</v>
      </c>
    </row>
    <row r="90" spans="1:21" x14ac:dyDescent="0.3">
      <c r="A90" s="4">
        <v>89</v>
      </c>
      <c r="B90" s="5" t="s">
        <v>390</v>
      </c>
      <c r="C90" s="6">
        <v>42830</v>
      </c>
      <c r="D90" s="6" t="str">
        <f t="shared" si="3"/>
        <v>Apr</v>
      </c>
      <c r="E90" s="12">
        <f t="shared" si="4"/>
        <v>2017</v>
      </c>
      <c r="F90" s="6">
        <v>42835</v>
      </c>
      <c r="G90" s="12">
        <f t="shared" si="5"/>
        <v>5</v>
      </c>
      <c r="H90" s="5" t="s">
        <v>19</v>
      </c>
      <c r="I90" s="5" t="s">
        <v>391</v>
      </c>
      <c r="J90" s="5" t="s">
        <v>392</v>
      </c>
      <c r="K90" s="5" t="s">
        <v>98</v>
      </c>
      <c r="L90" s="5" t="s">
        <v>23</v>
      </c>
      <c r="M90" s="5" t="s">
        <v>180</v>
      </c>
      <c r="N90" s="5" t="s">
        <v>100</v>
      </c>
      <c r="O90" s="5">
        <v>77095</v>
      </c>
      <c r="P90" s="5" t="s">
        <v>101</v>
      </c>
      <c r="Q90" s="5" t="s">
        <v>393</v>
      </c>
      <c r="R90" s="5" t="s">
        <v>42</v>
      </c>
      <c r="S90" s="5" t="s">
        <v>55</v>
      </c>
      <c r="T90" s="5" t="s">
        <v>394</v>
      </c>
      <c r="U90" s="7">
        <v>158.36799999999999</v>
      </c>
    </row>
    <row r="91" spans="1:21" x14ac:dyDescent="0.3">
      <c r="A91" s="8">
        <v>90</v>
      </c>
      <c r="B91" s="9" t="s">
        <v>395</v>
      </c>
      <c r="C91" s="10">
        <v>42995</v>
      </c>
      <c r="D91" s="6" t="str">
        <f t="shared" si="3"/>
        <v>Sep</v>
      </c>
      <c r="E91" s="12">
        <f t="shared" si="4"/>
        <v>2017</v>
      </c>
      <c r="F91" s="10">
        <v>43000</v>
      </c>
      <c r="G91" s="12">
        <f t="shared" si="5"/>
        <v>5</v>
      </c>
      <c r="H91" s="9" t="s">
        <v>46</v>
      </c>
      <c r="I91" s="9" t="s">
        <v>396</v>
      </c>
      <c r="J91" s="9" t="s">
        <v>397</v>
      </c>
      <c r="K91" s="9" t="s">
        <v>37</v>
      </c>
      <c r="L91" s="9" t="s">
        <v>23</v>
      </c>
      <c r="M91" s="9" t="s">
        <v>38</v>
      </c>
      <c r="N91" s="9" t="s">
        <v>39</v>
      </c>
      <c r="O91" s="9">
        <v>90036</v>
      </c>
      <c r="P91" s="9" t="s">
        <v>40</v>
      </c>
      <c r="Q91" s="9" t="s">
        <v>398</v>
      </c>
      <c r="R91" s="9" t="s">
        <v>42</v>
      </c>
      <c r="S91" s="9" t="s">
        <v>64</v>
      </c>
      <c r="T91" s="9" t="s">
        <v>399</v>
      </c>
      <c r="U91" s="11">
        <v>20.100000000000001</v>
      </c>
    </row>
    <row r="92" spans="1:21" x14ac:dyDescent="0.3">
      <c r="A92" s="4">
        <v>91</v>
      </c>
      <c r="B92" s="5" t="s">
        <v>395</v>
      </c>
      <c r="C92" s="6">
        <v>42995</v>
      </c>
      <c r="D92" s="6" t="str">
        <f t="shared" si="3"/>
        <v>Sep</v>
      </c>
      <c r="E92" s="12">
        <f t="shared" si="4"/>
        <v>2017</v>
      </c>
      <c r="F92" s="6">
        <v>43000</v>
      </c>
      <c r="G92" s="12">
        <f t="shared" si="5"/>
        <v>5</v>
      </c>
      <c r="H92" s="5" t="s">
        <v>46</v>
      </c>
      <c r="I92" s="5" t="s">
        <v>396</v>
      </c>
      <c r="J92" s="5" t="s">
        <v>397</v>
      </c>
      <c r="K92" s="5" t="s">
        <v>37</v>
      </c>
      <c r="L92" s="5" t="s">
        <v>23</v>
      </c>
      <c r="M92" s="5" t="s">
        <v>38</v>
      </c>
      <c r="N92" s="5" t="s">
        <v>39</v>
      </c>
      <c r="O92" s="5">
        <v>90036</v>
      </c>
      <c r="P92" s="5" t="s">
        <v>40</v>
      </c>
      <c r="Q92" s="5" t="s">
        <v>208</v>
      </c>
      <c r="R92" s="5" t="s">
        <v>67</v>
      </c>
      <c r="S92" s="5" t="s">
        <v>68</v>
      </c>
      <c r="T92" s="5" t="s">
        <v>209</v>
      </c>
      <c r="U92" s="7">
        <v>73.584000000000003</v>
      </c>
    </row>
    <row r="93" spans="1:21" x14ac:dyDescent="0.3">
      <c r="A93" s="8">
        <v>92</v>
      </c>
      <c r="B93" s="9" t="s">
        <v>395</v>
      </c>
      <c r="C93" s="10">
        <v>42995</v>
      </c>
      <c r="D93" s="6" t="str">
        <f t="shared" si="3"/>
        <v>Sep</v>
      </c>
      <c r="E93" s="12">
        <f t="shared" si="4"/>
        <v>2017</v>
      </c>
      <c r="F93" s="10">
        <v>43000</v>
      </c>
      <c r="G93" s="12">
        <f t="shared" si="5"/>
        <v>5</v>
      </c>
      <c r="H93" s="9" t="s">
        <v>46</v>
      </c>
      <c r="I93" s="9" t="s">
        <v>396</v>
      </c>
      <c r="J93" s="9" t="s">
        <v>397</v>
      </c>
      <c r="K93" s="9" t="s">
        <v>37</v>
      </c>
      <c r="L93" s="9" t="s">
        <v>23</v>
      </c>
      <c r="M93" s="9" t="s">
        <v>38</v>
      </c>
      <c r="N93" s="9" t="s">
        <v>39</v>
      </c>
      <c r="O93" s="9">
        <v>90036</v>
      </c>
      <c r="P93" s="9" t="s">
        <v>40</v>
      </c>
      <c r="Q93" s="9" t="s">
        <v>400</v>
      </c>
      <c r="R93" s="9" t="s">
        <v>42</v>
      </c>
      <c r="S93" s="9" t="s">
        <v>86</v>
      </c>
      <c r="T93" s="9" t="s">
        <v>401</v>
      </c>
      <c r="U93" s="11">
        <v>6.48</v>
      </c>
    </row>
    <row r="94" spans="1:21" x14ac:dyDescent="0.3">
      <c r="A94" s="4">
        <v>93</v>
      </c>
      <c r="B94" s="5" t="s">
        <v>402</v>
      </c>
      <c r="C94" s="6">
        <v>42400</v>
      </c>
      <c r="D94" s="6" t="str">
        <f t="shared" si="3"/>
        <v>Jan</v>
      </c>
      <c r="E94" s="12">
        <f t="shared" si="4"/>
        <v>2016</v>
      </c>
      <c r="F94" s="6">
        <v>42405</v>
      </c>
      <c r="G94" s="12">
        <f t="shared" si="5"/>
        <v>5</v>
      </c>
      <c r="H94" s="5" t="s">
        <v>19</v>
      </c>
      <c r="I94" s="5" t="s">
        <v>403</v>
      </c>
      <c r="J94" s="5" t="s">
        <v>404</v>
      </c>
      <c r="K94" s="5" t="s">
        <v>22</v>
      </c>
      <c r="L94" s="5" t="s">
        <v>23</v>
      </c>
      <c r="M94" s="5" t="s">
        <v>405</v>
      </c>
      <c r="N94" s="5" t="s">
        <v>225</v>
      </c>
      <c r="O94" s="5">
        <v>55407</v>
      </c>
      <c r="P94" s="5" t="s">
        <v>101</v>
      </c>
      <c r="Q94" s="5" t="s">
        <v>406</v>
      </c>
      <c r="R94" s="5" t="s">
        <v>42</v>
      </c>
      <c r="S94" s="5" t="s">
        <v>86</v>
      </c>
      <c r="T94" s="5" t="s">
        <v>407</v>
      </c>
      <c r="U94" s="7">
        <v>12.96</v>
      </c>
    </row>
    <row r="95" spans="1:21" x14ac:dyDescent="0.3">
      <c r="A95" s="8">
        <v>94</v>
      </c>
      <c r="B95" s="9" t="s">
        <v>402</v>
      </c>
      <c r="C95" s="10">
        <v>42400</v>
      </c>
      <c r="D95" s="6" t="str">
        <f t="shared" si="3"/>
        <v>Jan</v>
      </c>
      <c r="E95" s="12">
        <f t="shared" si="4"/>
        <v>2016</v>
      </c>
      <c r="F95" s="10">
        <v>42405</v>
      </c>
      <c r="G95" s="12">
        <f t="shared" si="5"/>
        <v>5</v>
      </c>
      <c r="H95" s="9" t="s">
        <v>19</v>
      </c>
      <c r="I95" s="9" t="s">
        <v>403</v>
      </c>
      <c r="J95" s="9" t="s">
        <v>404</v>
      </c>
      <c r="K95" s="9" t="s">
        <v>22</v>
      </c>
      <c r="L95" s="9" t="s">
        <v>23</v>
      </c>
      <c r="M95" s="9" t="s">
        <v>405</v>
      </c>
      <c r="N95" s="9" t="s">
        <v>225</v>
      </c>
      <c r="O95" s="9">
        <v>55407</v>
      </c>
      <c r="P95" s="9" t="s">
        <v>101</v>
      </c>
      <c r="Q95" s="9" t="s">
        <v>408</v>
      </c>
      <c r="R95" s="9" t="s">
        <v>28</v>
      </c>
      <c r="S95" s="9" t="s">
        <v>61</v>
      </c>
      <c r="T95" s="9" t="s">
        <v>409</v>
      </c>
      <c r="U95" s="11">
        <v>53.34</v>
      </c>
    </row>
    <row r="96" spans="1:21" x14ac:dyDescent="0.3">
      <c r="A96" s="4">
        <v>95</v>
      </c>
      <c r="B96" s="5" t="s">
        <v>402</v>
      </c>
      <c r="C96" s="6">
        <v>42400</v>
      </c>
      <c r="D96" s="6" t="str">
        <f t="shared" si="3"/>
        <v>Jan</v>
      </c>
      <c r="E96" s="12">
        <f t="shared" si="4"/>
        <v>2016</v>
      </c>
      <c r="F96" s="6">
        <v>42405</v>
      </c>
      <c r="G96" s="12">
        <f t="shared" si="5"/>
        <v>5</v>
      </c>
      <c r="H96" s="5" t="s">
        <v>19</v>
      </c>
      <c r="I96" s="5" t="s">
        <v>403</v>
      </c>
      <c r="J96" s="5" t="s">
        <v>404</v>
      </c>
      <c r="K96" s="5" t="s">
        <v>22</v>
      </c>
      <c r="L96" s="5" t="s">
        <v>23</v>
      </c>
      <c r="M96" s="5" t="s">
        <v>405</v>
      </c>
      <c r="N96" s="5" t="s">
        <v>225</v>
      </c>
      <c r="O96" s="5">
        <v>55407</v>
      </c>
      <c r="P96" s="5" t="s">
        <v>101</v>
      </c>
      <c r="Q96" s="5" t="s">
        <v>410</v>
      </c>
      <c r="R96" s="5" t="s">
        <v>42</v>
      </c>
      <c r="S96" s="5" t="s">
        <v>71</v>
      </c>
      <c r="T96" s="5" t="s">
        <v>411</v>
      </c>
      <c r="U96" s="7">
        <v>32.96</v>
      </c>
    </row>
    <row r="97" spans="1:21" x14ac:dyDescent="0.3">
      <c r="A97" s="8">
        <v>96</v>
      </c>
      <c r="B97" s="9" t="s">
        <v>412</v>
      </c>
      <c r="C97" s="10">
        <v>43410</v>
      </c>
      <c r="D97" s="6" t="str">
        <f t="shared" si="3"/>
        <v>Nov</v>
      </c>
      <c r="E97" s="12">
        <f t="shared" si="4"/>
        <v>2018</v>
      </c>
      <c r="F97" s="10">
        <v>43416</v>
      </c>
      <c r="G97" s="12">
        <f t="shared" si="5"/>
        <v>6</v>
      </c>
      <c r="H97" s="9" t="s">
        <v>46</v>
      </c>
      <c r="I97" s="9" t="s">
        <v>413</v>
      </c>
      <c r="J97" s="9" t="s">
        <v>414</v>
      </c>
      <c r="K97" s="9" t="s">
        <v>98</v>
      </c>
      <c r="L97" s="9" t="s">
        <v>23</v>
      </c>
      <c r="M97" s="9" t="s">
        <v>415</v>
      </c>
      <c r="N97" s="9" t="s">
        <v>416</v>
      </c>
      <c r="O97" s="9">
        <v>97206</v>
      </c>
      <c r="P97" s="9" t="s">
        <v>40</v>
      </c>
      <c r="Q97" s="9" t="s">
        <v>417</v>
      </c>
      <c r="R97" s="9" t="s">
        <v>42</v>
      </c>
      <c r="S97" s="9" t="s">
        <v>71</v>
      </c>
      <c r="T97" s="9" t="s">
        <v>418</v>
      </c>
      <c r="U97" s="11">
        <v>5.6820000000000004</v>
      </c>
    </row>
    <row r="98" spans="1:21" x14ac:dyDescent="0.3">
      <c r="A98" s="4">
        <v>97</v>
      </c>
      <c r="B98" s="5" t="s">
        <v>419</v>
      </c>
      <c r="C98" s="6">
        <v>43413</v>
      </c>
      <c r="D98" s="6" t="str">
        <f t="shared" si="3"/>
        <v>Nov</v>
      </c>
      <c r="E98" s="12">
        <f t="shared" si="4"/>
        <v>2018</v>
      </c>
      <c r="F98" s="6">
        <v>43415</v>
      </c>
      <c r="G98" s="12">
        <f t="shared" si="5"/>
        <v>2</v>
      </c>
      <c r="H98" s="5" t="s">
        <v>19</v>
      </c>
      <c r="I98" s="5" t="s">
        <v>420</v>
      </c>
      <c r="J98" s="5" t="s">
        <v>421</v>
      </c>
      <c r="K98" s="5" t="s">
        <v>98</v>
      </c>
      <c r="L98" s="5" t="s">
        <v>23</v>
      </c>
      <c r="M98" s="5" t="s">
        <v>262</v>
      </c>
      <c r="N98" s="5" t="s">
        <v>263</v>
      </c>
      <c r="O98" s="5">
        <v>10009</v>
      </c>
      <c r="P98" s="5" t="s">
        <v>144</v>
      </c>
      <c r="Q98" s="5" t="s">
        <v>422</v>
      </c>
      <c r="R98" s="5" t="s">
        <v>28</v>
      </c>
      <c r="S98" s="5" t="s">
        <v>61</v>
      </c>
      <c r="T98" s="5" t="s">
        <v>423</v>
      </c>
      <c r="U98" s="7">
        <v>96.53</v>
      </c>
    </row>
    <row r="99" spans="1:21" x14ac:dyDescent="0.3">
      <c r="A99" s="8">
        <v>98</v>
      </c>
      <c r="B99" s="9" t="s">
        <v>424</v>
      </c>
      <c r="C99" s="10">
        <v>43268</v>
      </c>
      <c r="D99" s="6" t="str">
        <f t="shared" si="3"/>
        <v>Jun</v>
      </c>
      <c r="E99" s="12">
        <f t="shared" si="4"/>
        <v>2018</v>
      </c>
      <c r="F99" s="10">
        <v>43271</v>
      </c>
      <c r="G99" s="12">
        <f t="shared" si="5"/>
        <v>3</v>
      </c>
      <c r="H99" s="9" t="s">
        <v>184</v>
      </c>
      <c r="I99" s="9" t="s">
        <v>425</v>
      </c>
      <c r="J99" s="9" t="s">
        <v>426</v>
      </c>
      <c r="K99" s="9" t="s">
        <v>22</v>
      </c>
      <c r="L99" s="9" t="s">
        <v>23</v>
      </c>
      <c r="M99" s="9" t="s">
        <v>123</v>
      </c>
      <c r="N99" s="9" t="s">
        <v>39</v>
      </c>
      <c r="O99" s="9">
        <v>94122</v>
      </c>
      <c r="P99" s="9" t="s">
        <v>40</v>
      </c>
      <c r="Q99" s="9" t="s">
        <v>427</v>
      </c>
      <c r="R99" s="9" t="s">
        <v>42</v>
      </c>
      <c r="S99" s="9" t="s">
        <v>71</v>
      </c>
      <c r="T99" s="9" t="s">
        <v>428</v>
      </c>
      <c r="U99" s="11">
        <v>51.311999999999998</v>
      </c>
    </row>
    <row r="100" spans="1:21" x14ac:dyDescent="0.3">
      <c r="A100" s="4">
        <v>99</v>
      </c>
      <c r="B100" s="5" t="s">
        <v>429</v>
      </c>
      <c r="C100" s="6">
        <v>42984</v>
      </c>
      <c r="D100" s="6" t="str">
        <f t="shared" si="3"/>
        <v>Sep</v>
      </c>
      <c r="E100" s="12">
        <f t="shared" si="4"/>
        <v>2017</v>
      </c>
      <c r="F100" s="6">
        <v>42989</v>
      </c>
      <c r="G100" s="12">
        <f t="shared" si="5"/>
        <v>5</v>
      </c>
      <c r="H100" s="5" t="s">
        <v>46</v>
      </c>
      <c r="I100" s="5" t="s">
        <v>430</v>
      </c>
      <c r="J100" s="5" t="s">
        <v>431</v>
      </c>
      <c r="K100" s="5" t="s">
        <v>37</v>
      </c>
      <c r="L100" s="5" t="s">
        <v>23</v>
      </c>
      <c r="M100" s="5" t="s">
        <v>432</v>
      </c>
      <c r="N100" s="5" t="s">
        <v>225</v>
      </c>
      <c r="O100" s="5">
        <v>55106</v>
      </c>
      <c r="P100" s="5" t="s">
        <v>101</v>
      </c>
      <c r="Q100" s="5" t="s">
        <v>433</v>
      </c>
      <c r="R100" s="5" t="s">
        <v>42</v>
      </c>
      <c r="S100" s="5" t="s">
        <v>74</v>
      </c>
      <c r="T100" s="5" t="s">
        <v>434</v>
      </c>
      <c r="U100" s="7">
        <v>77.88</v>
      </c>
    </row>
    <row r="101" spans="1:21" x14ac:dyDescent="0.3">
      <c r="A101" s="8">
        <v>100</v>
      </c>
      <c r="B101" s="9" t="s">
        <v>435</v>
      </c>
      <c r="C101" s="10">
        <v>42976</v>
      </c>
      <c r="D101" s="6" t="str">
        <f t="shared" si="3"/>
        <v>Aug</v>
      </c>
      <c r="E101" s="12">
        <f t="shared" si="4"/>
        <v>2017</v>
      </c>
      <c r="F101" s="10">
        <v>42980</v>
      </c>
      <c r="G101" s="12">
        <f t="shared" si="5"/>
        <v>4</v>
      </c>
      <c r="H101" s="9" t="s">
        <v>46</v>
      </c>
      <c r="I101" s="9" t="s">
        <v>436</v>
      </c>
      <c r="J101" s="9" t="s">
        <v>437</v>
      </c>
      <c r="K101" s="9" t="s">
        <v>98</v>
      </c>
      <c r="L101" s="9" t="s">
        <v>23</v>
      </c>
      <c r="M101" s="9" t="s">
        <v>299</v>
      </c>
      <c r="N101" s="9" t="s">
        <v>207</v>
      </c>
      <c r="O101" s="9">
        <v>60610</v>
      </c>
      <c r="P101" s="9" t="s">
        <v>101</v>
      </c>
      <c r="Q101" s="9" t="s">
        <v>438</v>
      </c>
      <c r="R101" s="9" t="s">
        <v>42</v>
      </c>
      <c r="S101" s="9" t="s">
        <v>86</v>
      </c>
      <c r="T101" s="9" t="s">
        <v>439</v>
      </c>
      <c r="U101" s="11">
        <v>64.623999999999995</v>
      </c>
    </row>
    <row r="102" spans="1:21" x14ac:dyDescent="0.3">
      <c r="A102" s="4">
        <v>101</v>
      </c>
      <c r="B102" s="5" t="s">
        <v>435</v>
      </c>
      <c r="C102" s="6">
        <v>42976</v>
      </c>
      <c r="D102" s="6" t="str">
        <f t="shared" si="3"/>
        <v>Aug</v>
      </c>
      <c r="E102" s="12">
        <f t="shared" si="4"/>
        <v>2017</v>
      </c>
      <c r="F102" s="6">
        <v>42980</v>
      </c>
      <c r="G102" s="12">
        <f t="shared" si="5"/>
        <v>4</v>
      </c>
      <c r="H102" s="5" t="s">
        <v>46</v>
      </c>
      <c r="I102" s="5" t="s">
        <v>436</v>
      </c>
      <c r="J102" s="5" t="s">
        <v>437</v>
      </c>
      <c r="K102" s="5" t="s">
        <v>98</v>
      </c>
      <c r="L102" s="5" t="s">
        <v>23</v>
      </c>
      <c r="M102" s="5" t="s">
        <v>299</v>
      </c>
      <c r="N102" s="5" t="s">
        <v>207</v>
      </c>
      <c r="O102" s="5">
        <v>60610</v>
      </c>
      <c r="P102" s="5" t="s">
        <v>101</v>
      </c>
      <c r="Q102" s="5" t="s">
        <v>440</v>
      </c>
      <c r="R102" s="5" t="s">
        <v>67</v>
      </c>
      <c r="S102" s="5" t="s">
        <v>157</v>
      </c>
      <c r="T102" s="5" t="s">
        <v>441</v>
      </c>
      <c r="U102" s="7">
        <v>95.975999999999999</v>
      </c>
    </row>
    <row r="103" spans="1:21" x14ac:dyDescent="0.3">
      <c r="A103" s="8">
        <v>102</v>
      </c>
      <c r="B103" s="9" t="s">
        <v>435</v>
      </c>
      <c r="C103" s="10">
        <v>42976</v>
      </c>
      <c r="D103" s="6" t="str">
        <f t="shared" si="3"/>
        <v>Aug</v>
      </c>
      <c r="E103" s="12">
        <f t="shared" si="4"/>
        <v>2017</v>
      </c>
      <c r="F103" s="10">
        <v>42980</v>
      </c>
      <c r="G103" s="12">
        <f t="shared" si="5"/>
        <v>4</v>
      </c>
      <c r="H103" s="9" t="s">
        <v>46</v>
      </c>
      <c r="I103" s="9" t="s">
        <v>436</v>
      </c>
      <c r="J103" s="9" t="s">
        <v>437</v>
      </c>
      <c r="K103" s="9" t="s">
        <v>98</v>
      </c>
      <c r="L103" s="9" t="s">
        <v>23</v>
      </c>
      <c r="M103" s="9" t="s">
        <v>299</v>
      </c>
      <c r="N103" s="9" t="s">
        <v>207</v>
      </c>
      <c r="O103" s="9">
        <v>60610</v>
      </c>
      <c r="P103" s="9" t="s">
        <v>101</v>
      </c>
      <c r="Q103" s="9" t="s">
        <v>442</v>
      </c>
      <c r="R103" s="9" t="s">
        <v>42</v>
      </c>
      <c r="S103" s="9" t="s">
        <v>71</v>
      </c>
      <c r="T103" s="9" t="s">
        <v>443</v>
      </c>
      <c r="U103" s="11">
        <v>1.788</v>
      </c>
    </row>
    <row r="104" spans="1:21" x14ac:dyDescent="0.3">
      <c r="A104" s="4">
        <v>103</v>
      </c>
      <c r="B104" s="5" t="s">
        <v>444</v>
      </c>
      <c r="C104" s="6">
        <v>43070</v>
      </c>
      <c r="D104" s="6" t="str">
        <f t="shared" si="3"/>
        <v>Dec</v>
      </c>
      <c r="E104" s="12">
        <f t="shared" si="4"/>
        <v>2017</v>
      </c>
      <c r="F104" s="6">
        <v>43073</v>
      </c>
      <c r="G104" s="12">
        <f t="shared" si="5"/>
        <v>3</v>
      </c>
      <c r="H104" s="5" t="s">
        <v>19</v>
      </c>
      <c r="I104" s="5" t="s">
        <v>445</v>
      </c>
      <c r="J104" s="5" t="s">
        <v>446</v>
      </c>
      <c r="K104" s="5" t="s">
        <v>22</v>
      </c>
      <c r="L104" s="5" t="s">
        <v>23</v>
      </c>
      <c r="M104" s="5" t="s">
        <v>385</v>
      </c>
      <c r="N104" s="5" t="s">
        <v>225</v>
      </c>
      <c r="O104" s="5">
        <v>55901</v>
      </c>
      <c r="P104" s="5" t="s">
        <v>101</v>
      </c>
      <c r="Q104" s="5" t="s">
        <v>447</v>
      </c>
      <c r="R104" s="5" t="s">
        <v>42</v>
      </c>
      <c r="S104" s="5" t="s">
        <v>86</v>
      </c>
      <c r="T104" s="5" t="s">
        <v>448</v>
      </c>
      <c r="U104" s="7">
        <v>23.92</v>
      </c>
    </row>
    <row r="105" spans="1:21" x14ac:dyDescent="0.3">
      <c r="A105" s="8">
        <v>104</v>
      </c>
      <c r="B105" s="9" t="s">
        <v>449</v>
      </c>
      <c r="C105" s="10">
        <v>42687</v>
      </c>
      <c r="D105" s="6" t="str">
        <f t="shared" si="3"/>
        <v>Nov</v>
      </c>
      <c r="E105" s="12">
        <f t="shared" si="4"/>
        <v>2016</v>
      </c>
      <c r="F105" s="10">
        <v>42691</v>
      </c>
      <c r="G105" s="12">
        <f t="shared" si="5"/>
        <v>4</v>
      </c>
      <c r="H105" s="9" t="s">
        <v>46</v>
      </c>
      <c r="I105" s="9" t="s">
        <v>450</v>
      </c>
      <c r="J105" s="9" t="s">
        <v>451</v>
      </c>
      <c r="K105" s="9" t="s">
        <v>22</v>
      </c>
      <c r="L105" s="9" t="s">
        <v>23</v>
      </c>
      <c r="M105" s="9" t="s">
        <v>452</v>
      </c>
      <c r="N105" s="9" t="s">
        <v>453</v>
      </c>
      <c r="O105" s="9">
        <v>80013</v>
      </c>
      <c r="P105" s="9" t="s">
        <v>40</v>
      </c>
      <c r="Q105" s="9" t="s">
        <v>454</v>
      </c>
      <c r="R105" s="9" t="s">
        <v>67</v>
      </c>
      <c r="S105" s="9" t="s">
        <v>157</v>
      </c>
      <c r="T105" s="9" t="s">
        <v>455</v>
      </c>
      <c r="U105" s="11">
        <v>238.89599999999999</v>
      </c>
    </row>
    <row r="106" spans="1:21" x14ac:dyDescent="0.3">
      <c r="A106" s="4">
        <v>105</v>
      </c>
      <c r="B106" s="5" t="s">
        <v>449</v>
      </c>
      <c r="C106" s="6">
        <v>42687</v>
      </c>
      <c r="D106" s="6" t="str">
        <f t="shared" si="3"/>
        <v>Nov</v>
      </c>
      <c r="E106" s="12">
        <f t="shared" si="4"/>
        <v>2016</v>
      </c>
      <c r="F106" s="6">
        <v>42691</v>
      </c>
      <c r="G106" s="12">
        <f t="shared" si="5"/>
        <v>4</v>
      </c>
      <c r="H106" s="5" t="s">
        <v>46</v>
      </c>
      <c r="I106" s="5" t="s">
        <v>450</v>
      </c>
      <c r="J106" s="5" t="s">
        <v>451</v>
      </c>
      <c r="K106" s="5" t="s">
        <v>22</v>
      </c>
      <c r="L106" s="5" t="s">
        <v>23</v>
      </c>
      <c r="M106" s="5" t="s">
        <v>452</v>
      </c>
      <c r="N106" s="5" t="s">
        <v>453</v>
      </c>
      <c r="O106" s="5">
        <v>80013</v>
      </c>
      <c r="P106" s="5" t="s">
        <v>40</v>
      </c>
      <c r="Q106" s="5" t="s">
        <v>456</v>
      </c>
      <c r="R106" s="5" t="s">
        <v>28</v>
      </c>
      <c r="S106" s="5" t="s">
        <v>61</v>
      </c>
      <c r="T106" s="5" t="s">
        <v>457</v>
      </c>
      <c r="U106" s="7">
        <v>102.36</v>
      </c>
    </row>
    <row r="107" spans="1:21" x14ac:dyDescent="0.3">
      <c r="A107" s="8">
        <v>106</v>
      </c>
      <c r="B107" s="9" t="s">
        <v>449</v>
      </c>
      <c r="C107" s="10">
        <v>42687</v>
      </c>
      <c r="D107" s="6" t="str">
        <f t="shared" si="3"/>
        <v>Nov</v>
      </c>
      <c r="E107" s="12">
        <f t="shared" si="4"/>
        <v>2016</v>
      </c>
      <c r="F107" s="10">
        <v>42691</v>
      </c>
      <c r="G107" s="12">
        <f t="shared" si="5"/>
        <v>4</v>
      </c>
      <c r="H107" s="9" t="s">
        <v>46</v>
      </c>
      <c r="I107" s="9" t="s">
        <v>450</v>
      </c>
      <c r="J107" s="9" t="s">
        <v>451</v>
      </c>
      <c r="K107" s="9" t="s">
        <v>22</v>
      </c>
      <c r="L107" s="9" t="s">
        <v>23</v>
      </c>
      <c r="M107" s="9" t="s">
        <v>452</v>
      </c>
      <c r="N107" s="9" t="s">
        <v>453</v>
      </c>
      <c r="O107" s="9">
        <v>80013</v>
      </c>
      <c r="P107" s="9" t="s">
        <v>40</v>
      </c>
      <c r="Q107" s="9" t="s">
        <v>458</v>
      </c>
      <c r="R107" s="9" t="s">
        <v>42</v>
      </c>
      <c r="S107" s="9" t="s">
        <v>71</v>
      </c>
      <c r="T107" s="9" t="s">
        <v>459</v>
      </c>
      <c r="U107" s="11">
        <v>36.881999999999998</v>
      </c>
    </row>
    <row r="108" spans="1:21" x14ac:dyDescent="0.3">
      <c r="A108" s="4">
        <v>107</v>
      </c>
      <c r="B108" s="5" t="s">
        <v>460</v>
      </c>
      <c r="C108" s="6">
        <v>43427</v>
      </c>
      <c r="D108" s="6" t="str">
        <f t="shared" si="3"/>
        <v>Nov</v>
      </c>
      <c r="E108" s="12">
        <f t="shared" si="4"/>
        <v>2018</v>
      </c>
      <c r="F108" s="6">
        <v>43432</v>
      </c>
      <c r="G108" s="12">
        <f t="shared" si="5"/>
        <v>5</v>
      </c>
      <c r="H108" s="5" t="s">
        <v>46</v>
      </c>
      <c r="I108" s="5" t="s">
        <v>461</v>
      </c>
      <c r="J108" s="5" t="s">
        <v>462</v>
      </c>
      <c r="K108" s="5" t="s">
        <v>22</v>
      </c>
      <c r="L108" s="5" t="s">
        <v>23</v>
      </c>
      <c r="M108" s="5" t="s">
        <v>463</v>
      </c>
      <c r="N108" s="5" t="s">
        <v>84</v>
      </c>
      <c r="O108" s="5">
        <v>28205</v>
      </c>
      <c r="P108" s="5" t="s">
        <v>26</v>
      </c>
      <c r="Q108" s="5" t="s">
        <v>464</v>
      </c>
      <c r="R108" s="5" t="s">
        <v>67</v>
      </c>
      <c r="S108" s="5" t="s">
        <v>157</v>
      </c>
      <c r="T108" s="5" t="s">
        <v>465</v>
      </c>
      <c r="U108" s="7">
        <v>74.111999999999995</v>
      </c>
    </row>
    <row r="109" spans="1:21" x14ac:dyDescent="0.3">
      <c r="A109" s="8">
        <v>108</v>
      </c>
      <c r="B109" s="9" t="s">
        <v>460</v>
      </c>
      <c r="C109" s="10">
        <v>43427</v>
      </c>
      <c r="D109" s="6" t="str">
        <f t="shared" si="3"/>
        <v>Nov</v>
      </c>
      <c r="E109" s="12">
        <f t="shared" si="4"/>
        <v>2018</v>
      </c>
      <c r="F109" s="10">
        <v>43432</v>
      </c>
      <c r="G109" s="12">
        <f t="shared" si="5"/>
        <v>5</v>
      </c>
      <c r="H109" s="9" t="s">
        <v>46</v>
      </c>
      <c r="I109" s="9" t="s">
        <v>461</v>
      </c>
      <c r="J109" s="9" t="s">
        <v>462</v>
      </c>
      <c r="K109" s="9" t="s">
        <v>22</v>
      </c>
      <c r="L109" s="9" t="s">
        <v>23</v>
      </c>
      <c r="M109" s="9" t="s">
        <v>463</v>
      </c>
      <c r="N109" s="9" t="s">
        <v>84</v>
      </c>
      <c r="O109" s="9">
        <v>28205</v>
      </c>
      <c r="P109" s="9" t="s">
        <v>26</v>
      </c>
      <c r="Q109" s="9" t="s">
        <v>466</v>
      </c>
      <c r="R109" s="9" t="s">
        <v>67</v>
      </c>
      <c r="S109" s="9" t="s">
        <v>68</v>
      </c>
      <c r="T109" s="9" t="s">
        <v>467</v>
      </c>
      <c r="U109" s="11">
        <v>27.992000000000001</v>
      </c>
    </row>
    <row r="110" spans="1:21" x14ac:dyDescent="0.3">
      <c r="A110" s="4">
        <v>109</v>
      </c>
      <c r="B110" s="5" t="s">
        <v>460</v>
      </c>
      <c r="C110" s="6">
        <v>43427</v>
      </c>
      <c r="D110" s="6" t="str">
        <f t="shared" si="3"/>
        <v>Nov</v>
      </c>
      <c r="E110" s="12">
        <f t="shared" si="4"/>
        <v>2018</v>
      </c>
      <c r="F110" s="6">
        <v>43432</v>
      </c>
      <c r="G110" s="12">
        <f t="shared" si="5"/>
        <v>5</v>
      </c>
      <c r="H110" s="5" t="s">
        <v>46</v>
      </c>
      <c r="I110" s="5" t="s">
        <v>461</v>
      </c>
      <c r="J110" s="5" t="s">
        <v>462</v>
      </c>
      <c r="K110" s="5" t="s">
        <v>22</v>
      </c>
      <c r="L110" s="5" t="s">
        <v>23</v>
      </c>
      <c r="M110" s="5" t="s">
        <v>463</v>
      </c>
      <c r="N110" s="5" t="s">
        <v>84</v>
      </c>
      <c r="O110" s="5">
        <v>28205</v>
      </c>
      <c r="P110" s="5" t="s">
        <v>26</v>
      </c>
      <c r="Q110" s="5" t="s">
        <v>468</v>
      </c>
      <c r="R110" s="5" t="s">
        <v>42</v>
      </c>
      <c r="S110" s="5" t="s">
        <v>64</v>
      </c>
      <c r="T110" s="5" t="s">
        <v>469</v>
      </c>
      <c r="U110" s="7">
        <v>3.3039999999999998</v>
      </c>
    </row>
    <row r="111" spans="1:21" x14ac:dyDescent="0.3">
      <c r="A111" s="8">
        <v>110</v>
      </c>
      <c r="B111" s="9" t="s">
        <v>470</v>
      </c>
      <c r="C111" s="10">
        <v>42658</v>
      </c>
      <c r="D111" s="6" t="str">
        <f t="shared" si="3"/>
        <v>Oct</v>
      </c>
      <c r="E111" s="12">
        <f t="shared" si="4"/>
        <v>2016</v>
      </c>
      <c r="F111" s="10">
        <v>42663</v>
      </c>
      <c r="G111" s="12">
        <f t="shared" si="5"/>
        <v>5</v>
      </c>
      <c r="H111" s="9" t="s">
        <v>46</v>
      </c>
      <c r="I111" s="9" t="s">
        <v>471</v>
      </c>
      <c r="J111" s="9" t="s">
        <v>472</v>
      </c>
      <c r="K111" s="9" t="s">
        <v>98</v>
      </c>
      <c r="L111" s="9" t="s">
        <v>23</v>
      </c>
      <c r="M111" s="9" t="s">
        <v>473</v>
      </c>
      <c r="N111" s="9" t="s">
        <v>207</v>
      </c>
      <c r="O111" s="9">
        <v>60462</v>
      </c>
      <c r="P111" s="9" t="s">
        <v>101</v>
      </c>
      <c r="Q111" s="9" t="s">
        <v>474</v>
      </c>
      <c r="R111" s="9" t="s">
        <v>67</v>
      </c>
      <c r="S111" s="9" t="s">
        <v>157</v>
      </c>
      <c r="T111" s="9" t="s">
        <v>475</v>
      </c>
      <c r="U111" s="11">
        <v>339.96</v>
      </c>
    </row>
    <row r="112" spans="1:21" x14ac:dyDescent="0.3">
      <c r="A112" s="4">
        <v>111</v>
      </c>
      <c r="B112" s="5" t="s">
        <v>476</v>
      </c>
      <c r="C112" s="6">
        <v>43459</v>
      </c>
      <c r="D112" s="6" t="str">
        <f t="shared" si="3"/>
        <v>Dec</v>
      </c>
      <c r="E112" s="12">
        <f t="shared" si="4"/>
        <v>2018</v>
      </c>
      <c r="F112" s="6">
        <v>43464</v>
      </c>
      <c r="G112" s="12">
        <f t="shared" si="5"/>
        <v>5</v>
      </c>
      <c r="H112" s="5" t="s">
        <v>46</v>
      </c>
      <c r="I112" s="5" t="s">
        <v>477</v>
      </c>
      <c r="J112" s="5" t="s">
        <v>478</v>
      </c>
      <c r="K112" s="5" t="s">
        <v>37</v>
      </c>
      <c r="L112" s="5" t="s">
        <v>23</v>
      </c>
      <c r="M112" s="5" t="s">
        <v>262</v>
      </c>
      <c r="N112" s="5" t="s">
        <v>263</v>
      </c>
      <c r="O112" s="5">
        <v>10035</v>
      </c>
      <c r="P112" s="5" t="s">
        <v>144</v>
      </c>
      <c r="Q112" s="5" t="s">
        <v>479</v>
      </c>
      <c r="R112" s="5" t="s">
        <v>28</v>
      </c>
      <c r="S112" s="5" t="s">
        <v>61</v>
      </c>
      <c r="T112" s="5" t="s">
        <v>480</v>
      </c>
      <c r="U112" s="7">
        <v>41.96</v>
      </c>
    </row>
    <row r="113" spans="1:21" x14ac:dyDescent="0.3">
      <c r="A113" s="8">
        <v>112</v>
      </c>
      <c r="B113" s="9" t="s">
        <v>481</v>
      </c>
      <c r="C113" s="10">
        <v>43042</v>
      </c>
      <c r="D113" s="6" t="str">
        <f t="shared" si="3"/>
        <v>Nov</v>
      </c>
      <c r="E113" s="12">
        <f t="shared" si="4"/>
        <v>2017</v>
      </c>
      <c r="F113" s="10">
        <v>43049</v>
      </c>
      <c r="G113" s="12">
        <f t="shared" si="5"/>
        <v>7</v>
      </c>
      <c r="H113" s="9" t="s">
        <v>46</v>
      </c>
      <c r="I113" s="9" t="s">
        <v>482</v>
      </c>
      <c r="J113" s="9" t="s">
        <v>483</v>
      </c>
      <c r="K113" s="9" t="s">
        <v>22</v>
      </c>
      <c r="L113" s="9" t="s">
        <v>23</v>
      </c>
      <c r="M113" s="9" t="s">
        <v>484</v>
      </c>
      <c r="N113" s="9" t="s">
        <v>485</v>
      </c>
      <c r="O113" s="9">
        <v>50322</v>
      </c>
      <c r="P113" s="9" t="s">
        <v>101</v>
      </c>
      <c r="Q113" s="9" t="s">
        <v>486</v>
      </c>
      <c r="R113" s="9" t="s">
        <v>42</v>
      </c>
      <c r="S113" s="9" t="s">
        <v>64</v>
      </c>
      <c r="T113" s="9" t="s">
        <v>487</v>
      </c>
      <c r="U113" s="11">
        <v>75.959999999999994</v>
      </c>
    </row>
    <row r="114" spans="1:21" x14ac:dyDescent="0.3">
      <c r="A114" s="4">
        <v>113</v>
      </c>
      <c r="B114" s="5" t="s">
        <v>481</v>
      </c>
      <c r="C114" s="6">
        <v>43042</v>
      </c>
      <c r="D114" s="6" t="str">
        <f t="shared" si="3"/>
        <v>Nov</v>
      </c>
      <c r="E114" s="12">
        <f t="shared" si="4"/>
        <v>2017</v>
      </c>
      <c r="F114" s="6">
        <v>43049</v>
      </c>
      <c r="G114" s="12">
        <f t="shared" si="5"/>
        <v>7</v>
      </c>
      <c r="H114" s="5" t="s">
        <v>46</v>
      </c>
      <c r="I114" s="5" t="s">
        <v>482</v>
      </c>
      <c r="J114" s="5" t="s">
        <v>483</v>
      </c>
      <c r="K114" s="5" t="s">
        <v>22</v>
      </c>
      <c r="L114" s="5" t="s">
        <v>23</v>
      </c>
      <c r="M114" s="5" t="s">
        <v>484</v>
      </c>
      <c r="N114" s="5" t="s">
        <v>485</v>
      </c>
      <c r="O114" s="5">
        <v>50322</v>
      </c>
      <c r="P114" s="5" t="s">
        <v>101</v>
      </c>
      <c r="Q114" s="5" t="s">
        <v>488</v>
      </c>
      <c r="R114" s="5" t="s">
        <v>42</v>
      </c>
      <c r="S114" s="5" t="s">
        <v>71</v>
      </c>
      <c r="T114" s="5" t="s">
        <v>489</v>
      </c>
      <c r="U114" s="7">
        <v>27.24</v>
      </c>
    </row>
    <row r="115" spans="1:21" x14ac:dyDescent="0.3">
      <c r="A115" s="8">
        <v>114</v>
      </c>
      <c r="B115" s="9" t="s">
        <v>490</v>
      </c>
      <c r="C115" s="10">
        <v>42241</v>
      </c>
      <c r="D115" s="6" t="str">
        <f t="shared" si="3"/>
        <v>Aug</v>
      </c>
      <c r="E115" s="12">
        <f t="shared" si="4"/>
        <v>2015</v>
      </c>
      <c r="F115" s="10">
        <v>42243</v>
      </c>
      <c r="G115" s="12">
        <f t="shared" si="5"/>
        <v>2</v>
      </c>
      <c r="H115" s="9" t="s">
        <v>19</v>
      </c>
      <c r="I115" s="9" t="s">
        <v>491</v>
      </c>
      <c r="J115" s="9" t="s">
        <v>492</v>
      </c>
      <c r="K115" s="9" t="s">
        <v>22</v>
      </c>
      <c r="L115" s="9" t="s">
        <v>23</v>
      </c>
      <c r="M115" s="9" t="s">
        <v>493</v>
      </c>
      <c r="N115" s="9" t="s">
        <v>494</v>
      </c>
      <c r="O115" s="9">
        <v>43229</v>
      </c>
      <c r="P115" s="9" t="s">
        <v>144</v>
      </c>
      <c r="Q115" s="9" t="s">
        <v>495</v>
      </c>
      <c r="R115" s="9" t="s">
        <v>42</v>
      </c>
      <c r="S115" s="9" t="s">
        <v>265</v>
      </c>
      <c r="T115" s="9" t="s">
        <v>496</v>
      </c>
      <c r="U115" s="11">
        <v>40.095999999999997</v>
      </c>
    </row>
    <row r="116" spans="1:21" x14ac:dyDescent="0.3">
      <c r="A116" s="4">
        <v>115</v>
      </c>
      <c r="B116" s="5" t="s">
        <v>490</v>
      </c>
      <c r="C116" s="6">
        <v>42241</v>
      </c>
      <c r="D116" s="6" t="str">
        <f t="shared" si="3"/>
        <v>Aug</v>
      </c>
      <c r="E116" s="12">
        <f t="shared" si="4"/>
        <v>2015</v>
      </c>
      <c r="F116" s="6">
        <v>42243</v>
      </c>
      <c r="G116" s="12">
        <f t="shared" si="5"/>
        <v>2</v>
      </c>
      <c r="H116" s="5" t="s">
        <v>19</v>
      </c>
      <c r="I116" s="5" t="s">
        <v>491</v>
      </c>
      <c r="J116" s="5" t="s">
        <v>492</v>
      </c>
      <c r="K116" s="5" t="s">
        <v>22</v>
      </c>
      <c r="L116" s="5" t="s">
        <v>23</v>
      </c>
      <c r="M116" s="5" t="s">
        <v>493</v>
      </c>
      <c r="N116" s="5" t="s">
        <v>494</v>
      </c>
      <c r="O116" s="5">
        <v>43229</v>
      </c>
      <c r="P116" s="5" t="s">
        <v>144</v>
      </c>
      <c r="Q116" s="5" t="s">
        <v>497</v>
      </c>
      <c r="R116" s="5" t="s">
        <v>42</v>
      </c>
      <c r="S116" s="5" t="s">
        <v>169</v>
      </c>
      <c r="T116" s="5" t="s">
        <v>498</v>
      </c>
      <c r="U116" s="7">
        <v>4.72</v>
      </c>
    </row>
    <row r="117" spans="1:21" x14ac:dyDescent="0.3">
      <c r="A117" s="8">
        <v>116</v>
      </c>
      <c r="B117" s="9" t="s">
        <v>490</v>
      </c>
      <c r="C117" s="10">
        <v>42241</v>
      </c>
      <c r="D117" s="6" t="str">
        <f t="shared" si="3"/>
        <v>Aug</v>
      </c>
      <c r="E117" s="12">
        <f t="shared" si="4"/>
        <v>2015</v>
      </c>
      <c r="F117" s="10">
        <v>42243</v>
      </c>
      <c r="G117" s="12">
        <f t="shared" si="5"/>
        <v>2</v>
      </c>
      <c r="H117" s="9" t="s">
        <v>19</v>
      </c>
      <c r="I117" s="9" t="s">
        <v>491</v>
      </c>
      <c r="J117" s="9" t="s">
        <v>492</v>
      </c>
      <c r="K117" s="9" t="s">
        <v>22</v>
      </c>
      <c r="L117" s="9" t="s">
        <v>23</v>
      </c>
      <c r="M117" s="9" t="s">
        <v>493</v>
      </c>
      <c r="N117" s="9" t="s">
        <v>494</v>
      </c>
      <c r="O117" s="9">
        <v>43229</v>
      </c>
      <c r="P117" s="9" t="s">
        <v>144</v>
      </c>
      <c r="Q117" s="9" t="s">
        <v>499</v>
      </c>
      <c r="R117" s="9" t="s">
        <v>42</v>
      </c>
      <c r="S117" s="9" t="s">
        <v>86</v>
      </c>
      <c r="T117" s="9" t="s">
        <v>500</v>
      </c>
      <c r="U117" s="11">
        <v>23.975999999999999</v>
      </c>
    </row>
    <row r="118" spans="1:21" x14ac:dyDescent="0.3">
      <c r="A118" s="4">
        <v>117</v>
      </c>
      <c r="B118" s="5" t="s">
        <v>490</v>
      </c>
      <c r="C118" s="6">
        <v>42241</v>
      </c>
      <c r="D118" s="6" t="str">
        <f t="shared" si="3"/>
        <v>Aug</v>
      </c>
      <c r="E118" s="12">
        <f t="shared" si="4"/>
        <v>2015</v>
      </c>
      <c r="F118" s="6">
        <v>42243</v>
      </c>
      <c r="G118" s="12">
        <f t="shared" si="5"/>
        <v>2</v>
      </c>
      <c r="H118" s="5" t="s">
        <v>19</v>
      </c>
      <c r="I118" s="5" t="s">
        <v>491</v>
      </c>
      <c r="J118" s="5" t="s">
        <v>492</v>
      </c>
      <c r="K118" s="5" t="s">
        <v>22</v>
      </c>
      <c r="L118" s="5" t="s">
        <v>23</v>
      </c>
      <c r="M118" s="5" t="s">
        <v>493</v>
      </c>
      <c r="N118" s="5" t="s">
        <v>494</v>
      </c>
      <c r="O118" s="5">
        <v>43229</v>
      </c>
      <c r="P118" s="5" t="s">
        <v>144</v>
      </c>
      <c r="Q118" s="5" t="s">
        <v>501</v>
      </c>
      <c r="R118" s="5" t="s">
        <v>42</v>
      </c>
      <c r="S118" s="5" t="s">
        <v>169</v>
      </c>
      <c r="T118" s="5" t="s">
        <v>502</v>
      </c>
      <c r="U118" s="7">
        <v>130.464</v>
      </c>
    </row>
    <row r="119" spans="1:21" x14ac:dyDescent="0.3">
      <c r="A119" s="8">
        <v>118</v>
      </c>
      <c r="B119" s="9" t="s">
        <v>503</v>
      </c>
      <c r="C119" s="10">
        <v>42431</v>
      </c>
      <c r="D119" s="6" t="str">
        <f t="shared" si="3"/>
        <v>Mar</v>
      </c>
      <c r="E119" s="12">
        <f t="shared" si="4"/>
        <v>2016</v>
      </c>
      <c r="F119" s="10">
        <v>42435</v>
      </c>
      <c r="G119" s="12">
        <f t="shared" si="5"/>
        <v>4</v>
      </c>
      <c r="H119" s="9" t="s">
        <v>46</v>
      </c>
      <c r="I119" s="9" t="s">
        <v>504</v>
      </c>
      <c r="J119" s="9" t="s">
        <v>505</v>
      </c>
      <c r="K119" s="9" t="s">
        <v>22</v>
      </c>
      <c r="L119" s="9" t="s">
        <v>23</v>
      </c>
      <c r="M119" s="9" t="s">
        <v>91</v>
      </c>
      <c r="N119" s="9" t="s">
        <v>92</v>
      </c>
      <c r="O119" s="9">
        <v>98103</v>
      </c>
      <c r="P119" s="9" t="s">
        <v>40</v>
      </c>
      <c r="Q119" s="9" t="s">
        <v>506</v>
      </c>
      <c r="R119" s="9" t="s">
        <v>28</v>
      </c>
      <c r="S119" s="9" t="s">
        <v>52</v>
      </c>
      <c r="T119" s="9" t="s">
        <v>507</v>
      </c>
      <c r="U119" s="11">
        <v>787.53</v>
      </c>
    </row>
    <row r="120" spans="1:21" x14ac:dyDescent="0.3">
      <c r="A120" s="4">
        <v>119</v>
      </c>
      <c r="B120" s="5" t="s">
        <v>508</v>
      </c>
      <c r="C120" s="6">
        <v>42465</v>
      </c>
      <c r="D120" s="6" t="str">
        <f t="shared" si="3"/>
        <v>Apr</v>
      </c>
      <c r="E120" s="12">
        <f t="shared" si="4"/>
        <v>2016</v>
      </c>
      <c r="F120" s="6">
        <v>42470</v>
      </c>
      <c r="G120" s="12">
        <f t="shared" si="5"/>
        <v>5</v>
      </c>
      <c r="H120" s="5" t="s">
        <v>46</v>
      </c>
      <c r="I120" s="5" t="s">
        <v>509</v>
      </c>
      <c r="J120" s="5" t="s">
        <v>510</v>
      </c>
      <c r="K120" s="5" t="s">
        <v>37</v>
      </c>
      <c r="L120" s="5" t="s">
        <v>23</v>
      </c>
      <c r="M120" s="5" t="s">
        <v>511</v>
      </c>
      <c r="N120" s="5" t="s">
        <v>331</v>
      </c>
      <c r="O120" s="5">
        <v>37620</v>
      </c>
      <c r="P120" s="5" t="s">
        <v>26</v>
      </c>
      <c r="Q120" s="5" t="s">
        <v>512</v>
      </c>
      <c r="R120" s="5" t="s">
        <v>42</v>
      </c>
      <c r="S120" s="5" t="s">
        <v>71</v>
      </c>
      <c r="T120" s="5" t="s">
        <v>513</v>
      </c>
      <c r="U120" s="7">
        <v>157.79400000000001</v>
      </c>
    </row>
    <row r="121" spans="1:21" x14ac:dyDescent="0.3">
      <c r="A121" s="8">
        <v>120</v>
      </c>
      <c r="B121" s="9" t="s">
        <v>514</v>
      </c>
      <c r="C121" s="10">
        <v>42898</v>
      </c>
      <c r="D121" s="6" t="str">
        <f t="shared" si="3"/>
        <v>Jun</v>
      </c>
      <c r="E121" s="12">
        <f t="shared" si="4"/>
        <v>2017</v>
      </c>
      <c r="F121" s="10">
        <v>42901</v>
      </c>
      <c r="G121" s="12">
        <f t="shared" si="5"/>
        <v>3</v>
      </c>
      <c r="H121" s="9" t="s">
        <v>184</v>
      </c>
      <c r="I121" s="9" t="s">
        <v>515</v>
      </c>
      <c r="J121" s="9" t="s">
        <v>516</v>
      </c>
      <c r="K121" s="9" t="s">
        <v>22</v>
      </c>
      <c r="L121" s="9" t="s">
        <v>23</v>
      </c>
      <c r="M121" s="9" t="s">
        <v>517</v>
      </c>
      <c r="N121" s="9" t="s">
        <v>241</v>
      </c>
      <c r="O121" s="9">
        <v>19805</v>
      </c>
      <c r="P121" s="9" t="s">
        <v>144</v>
      </c>
      <c r="Q121" s="9" t="s">
        <v>518</v>
      </c>
      <c r="R121" s="9" t="s">
        <v>28</v>
      </c>
      <c r="S121" s="9" t="s">
        <v>61</v>
      </c>
      <c r="T121" s="9" t="s">
        <v>519</v>
      </c>
      <c r="U121" s="11">
        <v>47.04</v>
      </c>
    </row>
    <row r="122" spans="1:21" x14ac:dyDescent="0.3">
      <c r="A122" s="4">
        <v>121</v>
      </c>
      <c r="B122" s="5" t="s">
        <v>514</v>
      </c>
      <c r="C122" s="6">
        <v>42898</v>
      </c>
      <c r="D122" s="6" t="str">
        <f t="shared" si="3"/>
        <v>Jun</v>
      </c>
      <c r="E122" s="12">
        <f t="shared" si="4"/>
        <v>2017</v>
      </c>
      <c r="F122" s="6">
        <v>42901</v>
      </c>
      <c r="G122" s="12">
        <f t="shared" si="5"/>
        <v>3</v>
      </c>
      <c r="H122" s="5" t="s">
        <v>184</v>
      </c>
      <c r="I122" s="5" t="s">
        <v>515</v>
      </c>
      <c r="J122" s="5" t="s">
        <v>516</v>
      </c>
      <c r="K122" s="5" t="s">
        <v>22</v>
      </c>
      <c r="L122" s="5" t="s">
        <v>23</v>
      </c>
      <c r="M122" s="5" t="s">
        <v>517</v>
      </c>
      <c r="N122" s="5" t="s">
        <v>241</v>
      </c>
      <c r="O122" s="5">
        <v>19805</v>
      </c>
      <c r="P122" s="5" t="s">
        <v>144</v>
      </c>
      <c r="Q122" s="5" t="s">
        <v>70</v>
      </c>
      <c r="R122" s="5" t="s">
        <v>42</v>
      </c>
      <c r="S122" s="5" t="s">
        <v>71</v>
      </c>
      <c r="T122" s="5" t="s">
        <v>72</v>
      </c>
      <c r="U122" s="7">
        <v>30.84</v>
      </c>
    </row>
    <row r="123" spans="1:21" x14ac:dyDescent="0.3">
      <c r="A123" s="8">
        <v>122</v>
      </c>
      <c r="B123" s="9" t="s">
        <v>514</v>
      </c>
      <c r="C123" s="10">
        <v>42898</v>
      </c>
      <c r="D123" s="6" t="str">
        <f t="shared" si="3"/>
        <v>Jun</v>
      </c>
      <c r="E123" s="12">
        <f t="shared" si="4"/>
        <v>2017</v>
      </c>
      <c r="F123" s="10">
        <v>42901</v>
      </c>
      <c r="G123" s="12">
        <f t="shared" si="5"/>
        <v>3</v>
      </c>
      <c r="H123" s="9" t="s">
        <v>184</v>
      </c>
      <c r="I123" s="9" t="s">
        <v>515</v>
      </c>
      <c r="J123" s="9" t="s">
        <v>516</v>
      </c>
      <c r="K123" s="9" t="s">
        <v>22</v>
      </c>
      <c r="L123" s="9" t="s">
        <v>23</v>
      </c>
      <c r="M123" s="9" t="s">
        <v>517</v>
      </c>
      <c r="N123" s="9" t="s">
        <v>241</v>
      </c>
      <c r="O123" s="9">
        <v>19805</v>
      </c>
      <c r="P123" s="9" t="s">
        <v>144</v>
      </c>
      <c r="Q123" s="9" t="s">
        <v>520</v>
      </c>
      <c r="R123" s="9" t="s">
        <v>42</v>
      </c>
      <c r="S123" s="9" t="s">
        <v>55</v>
      </c>
      <c r="T123" s="9" t="s">
        <v>521</v>
      </c>
      <c r="U123" s="11">
        <v>226.56</v>
      </c>
    </row>
    <row r="124" spans="1:21" x14ac:dyDescent="0.3">
      <c r="A124" s="4">
        <v>123</v>
      </c>
      <c r="B124" s="5" t="s">
        <v>514</v>
      </c>
      <c r="C124" s="6">
        <v>42898</v>
      </c>
      <c r="D124" s="6" t="str">
        <f t="shared" si="3"/>
        <v>Jun</v>
      </c>
      <c r="E124" s="12">
        <f t="shared" si="4"/>
        <v>2017</v>
      </c>
      <c r="F124" s="6">
        <v>42901</v>
      </c>
      <c r="G124" s="12">
        <f t="shared" si="5"/>
        <v>3</v>
      </c>
      <c r="H124" s="5" t="s">
        <v>184</v>
      </c>
      <c r="I124" s="5" t="s">
        <v>515</v>
      </c>
      <c r="J124" s="5" t="s">
        <v>516</v>
      </c>
      <c r="K124" s="5" t="s">
        <v>22</v>
      </c>
      <c r="L124" s="5" t="s">
        <v>23</v>
      </c>
      <c r="M124" s="5" t="s">
        <v>517</v>
      </c>
      <c r="N124" s="5" t="s">
        <v>241</v>
      </c>
      <c r="O124" s="5">
        <v>19805</v>
      </c>
      <c r="P124" s="5" t="s">
        <v>144</v>
      </c>
      <c r="Q124" s="5" t="s">
        <v>522</v>
      </c>
      <c r="R124" s="5" t="s">
        <v>42</v>
      </c>
      <c r="S124" s="5" t="s">
        <v>169</v>
      </c>
      <c r="T124" s="5" t="s">
        <v>523</v>
      </c>
      <c r="U124" s="7">
        <v>115.02</v>
      </c>
    </row>
    <row r="125" spans="1:21" x14ac:dyDescent="0.3">
      <c r="A125" s="8">
        <v>124</v>
      </c>
      <c r="B125" s="9" t="s">
        <v>514</v>
      </c>
      <c r="C125" s="10">
        <v>42898</v>
      </c>
      <c r="D125" s="6" t="str">
        <f t="shared" si="3"/>
        <v>Jun</v>
      </c>
      <c r="E125" s="12">
        <f t="shared" si="4"/>
        <v>2017</v>
      </c>
      <c r="F125" s="10">
        <v>42901</v>
      </c>
      <c r="G125" s="12">
        <f t="shared" si="5"/>
        <v>3</v>
      </c>
      <c r="H125" s="9" t="s">
        <v>184</v>
      </c>
      <c r="I125" s="9" t="s">
        <v>515</v>
      </c>
      <c r="J125" s="9" t="s">
        <v>516</v>
      </c>
      <c r="K125" s="9" t="s">
        <v>22</v>
      </c>
      <c r="L125" s="9" t="s">
        <v>23</v>
      </c>
      <c r="M125" s="9" t="s">
        <v>517</v>
      </c>
      <c r="N125" s="9" t="s">
        <v>241</v>
      </c>
      <c r="O125" s="9">
        <v>19805</v>
      </c>
      <c r="P125" s="9" t="s">
        <v>144</v>
      </c>
      <c r="Q125" s="9" t="s">
        <v>524</v>
      </c>
      <c r="R125" s="9" t="s">
        <v>67</v>
      </c>
      <c r="S125" s="9" t="s">
        <v>68</v>
      </c>
      <c r="T125" s="9" t="s">
        <v>525</v>
      </c>
      <c r="U125" s="11">
        <v>68.040000000000006</v>
      </c>
    </row>
    <row r="126" spans="1:21" x14ac:dyDescent="0.3">
      <c r="A126" s="4">
        <v>125</v>
      </c>
      <c r="B126" s="5" t="s">
        <v>526</v>
      </c>
      <c r="C126" s="6">
        <v>42364</v>
      </c>
      <c r="D126" s="6" t="str">
        <f t="shared" si="3"/>
        <v>Dec</v>
      </c>
      <c r="E126" s="12">
        <f t="shared" si="4"/>
        <v>2015</v>
      </c>
      <c r="F126" s="6">
        <v>42366</v>
      </c>
      <c r="G126" s="12">
        <f t="shared" si="5"/>
        <v>2</v>
      </c>
      <c r="H126" s="5" t="s">
        <v>19</v>
      </c>
      <c r="I126" s="5" t="s">
        <v>527</v>
      </c>
      <c r="J126" s="5" t="s">
        <v>528</v>
      </c>
      <c r="K126" s="5" t="s">
        <v>98</v>
      </c>
      <c r="L126" s="5" t="s">
        <v>23</v>
      </c>
      <c r="M126" s="5" t="s">
        <v>180</v>
      </c>
      <c r="N126" s="5" t="s">
        <v>100</v>
      </c>
      <c r="O126" s="5">
        <v>77041</v>
      </c>
      <c r="P126" s="5" t="s">
        <v>101</v>
      </c>
      <c r="Q126" s="5" t="s">
        <v>529</v>
      </c>
      <c r="R126" s="5" t="s">
        <v>28</v>
      </c>
      <c r="S126" s="5" t="s">
        <v>32</v>
      </c>
      <c r="T126" s="5" t="s">
        <v>530</v>
      </c>
      <c r="U126" s="7">
        <v>600.55799999999999</v>
      </c>
    </row>
    <row r="127" spans="1:21" x14ac:dyDescent="0.3">
      <c r="A127" s="8">
        <v>126</v>
      </c>
      <c r="B127" s="9" t="s">
        <v>531</v>
      </c>
      <c r="C127" s="10">
        <v>42267</v>
      </c>
      <c r="D127" s="6" t="str">
        <f t="shared" si="3"/>
        <v>Sep</v>
      </c>
      <c r="E127" s="12">
        <f t="shared" si="4"/>
        <v>2015</v>
      </c>
      <c r="F127" s="10">
        <v>42272</v>
      </c>
      <c r="G127" s="12">
        <f t="shared" si="5"/>
        <v>5</v>
      </c>
      <c r="H127" s="9" t="s">
        <v>46</v>
      </c>
      <c r="I127" s="9" t="s">
        <v>532</v>
      </c>
      <c r="J127" s="9" t="s">
        <v>533</v>
      </c>
      <c r="K127" s="9" t="s">
        <v>22</v>
      </c>
      <c r="L127" s="9" t="s">
        <v>23</v>
      </c>
      <c r="M127" s="9" t="s">
        <v>534</v>
      </c>
      <c r="N127" s="9" t="s">
        <v>207</v>
      </c>
      <c r="O127" s="9">
        <v>61701</v>
      </c>
      <c r="P127" s="9" t="s">
        <v>101</v>
      </c>
      <c r="Q127" s="9" t="s">
        <v>535</v>
      </c>
      <c r="R127" s="9" t="s">
        <v>28</v>
      </c>
      <c r="S127" s="9" t="s">
        <v>52</v>
      </c>
      <c r="T127" s="9" t="s">
        <v>536</v>
      </c>
      <c r="U127" s="11">
        <v>617.70000000000005</v>
      </c>
    </row>
    <row r="128" spans="1:21" x14ac:dyDescent="0.3">
      <c r="A128" s="4">
        <v>127</v>
      </c>
      <c r="B128" s="5" t="s">
        <v>537</v>
      </c>
      <c r="C128" s="6">
        <v>43409</v>
      </c>
      <c r="D128" s="6" t="str">
        <f t="shared" si="3"/>
        <v>Nov</v>
      </c>
      <c r="E128" s="12">
        <f t="shared" si="4"/>
        <v>2018</v>
      </c>
      <c r="F128" s="6">
        <v>43416</v>
      </c>
      <c r="G128" s="12">
        <f t="shared" si="5"/>
        <v>7</v>
      </c>
      <c r="H128" s="5" t="s">
        <v>46</v>
      </c>
      <c r="I128" s="5" t="s">
        <v>538</v>
      </c>
      <c r="J128" s="5" t="s">
        <v>539</v>
      </c>
      <c r="K128" s="5" t="s">
        <v>22</v>
      </c>
      <c r="L128" s="5" t="s">
        <v>23</v>
      </c>
      <c r="M128" s="5" t="s">
        <v>540</v>
      </c>
      <c r="N128" s="5" t="s">
        <v>306</v>
      </c>
      <c r="O128" s="5">
        <v>85023</v>
      </c>
      <c r="P128" s="5" t="s">
        <v>40</v>
      </c>
      <c r="Q128" s="5" t="s">
        <v>541</v>
      </c>
      <c r="R128" s="5" t="s">
        <v>42</v>
      </c>
      <c r="S128" s="5" t="s">
        <v>71</v>
      </c>
      <c r="T128" s="5" t="s">
        <v>542</v>
      </c>
      <c r="U128" s="7">
        <v>2.3879999999999999</v>
      </c>
    </row>
    <row r="129" spans="1:21" x14ac:dyDescent="0.3">
      <c r="A129" s="8">
        <v>128</v>
      </c>
      <c r="B129" s="9" t="s">
        <v>537</v>
      </c>
      <c r="C129" s="10">
        <v>43409</v>
      </c>
      <c r="D129" s="6" t="str">
        <f t="shared" si="3"/>
        <v>Nov</v>
      </c>
      <c r="E129" s="12">
        <f t="shared" si="4"/>
        <v>2018</v>
      </c>
      <c r="F129" s="10">
        <v>43416</v>
      </c>
      <c r="G129" s="12">
        <f t="shared" si="5"/>
        <v>7</v>
      </c>
      <c r="H129" s="9" t="s">
        <v>46</v>
      </c>
      <c r="I129" s="9" t="s">
        <v>538</v>
      </c>
      <c r="J129" s="9" t="s">
        <v>539</v>
      </c>
      <c r="K129" s="9" t="s">
        <v>22</v>
      </c>
      <c r="L129" s="9" t="s">
        <v>23</v>
      </c>
      <c r="M129" s="9" t="s">
        <v>540</v>
      </c>
      <c r="N129" s="9" t="s">
        <v>306</v>
      </c>
      <c r="O129" s="9">
        <v>85023</v>
      </c>
      <c r="P129" s="9" t="s">
        <v>40</v>
      </c>
      <c r="Q129" s="9" t="s">
        <v>543</v>
      </c>
      <c r="R129" s="9" t="s">
        <v>42</v>
      </c>
      <c r="S129" s="9" t="s">
        <v>55</v>
      </c>
      <c r="T129" s="9" t="s">
        <v>544</v>
      </c>
      <c r="U129" s="11">
        <v>243.99199999999999</v>
      </c>
    </row>
    <row r="130" spans="1:21" x14ac:dyDescent="0.3">
      <c r="A130" s="4">
        <v>129</v>
      </c>
      <c r="B130" s="5" t="s">
        <v>545</v>
      </c>
      <c r="C130" s="6">
        <v>43045</v>
      </c>
      <c r="D130" s="6" t="str">
        <f t="shared" si="3"/>
        <v>Nov</v>
      </c>
      <c r="E130" s="12">
        <f t="shared" si="4"/>
        <v>2017</v>
      </c>
      <c r="F130" s="6">
        <v>43049</v>
      </c>
      <c r="G130" s="12">
        <f t="shared" si="5"/>
        <v>4</v>
      </c>
      <c r="H130" s="5" t="s">
        <v>19</v>
      </c>
      <c r="I130" s="5" t="s">
        <v>546</v>
      </c>
      <c r="J130" s="5" t="s">
        <v>547</v>
      </c>
      <c r="K130" s="5" t="s">
        <v>98</v>
      </c>
      <c r="L130" s="5" t="s">
        <v>23</v>
      </c>
      <c r="M130" s="5" t="s">
        <v>38</v>
      </c>
      <c r="N130" s="5" t="s">
        <v>39</v>
      </c>
      <c r="O130" s="5">
        <v>90004</v>
      </c>
      <c r="P130" s="5" t="s">
        <v>40</v>
      </c>
      <c r="Q130" s="5" t="s">
        <v>300</v>
      </c>
      <c r="R130" s="5" t="s">
        <v>28</v>
      </c>
      <c r="S130" s="5" t="s">
        <v>32</v>
      </c>
      <c r="T130" s="5" t="s">
        <v>548</v>
      </c>
      <c r="U130" s="7">
        <v>81.424000000000007</v>
      </c>
    </row>
    <row r="131" spans="1:21" x14ac:dyDescent="0.3">
      <c r="A131" s="8">
        <v>130</v>
      </c>
      <c r="B131" s="9" t="s">
        <v>545</v>
      </c>
      <c r="C131" s="10">
        <v>43045</v>
      </c>
      <c r="D131" s="6" t="str">
        <f t="shared" ref="D131:D194" si="6">TEXT(C131,"MMM")</f>
        <v>Nov</v>
      </c>
      <c r="E131" s="12">
        <f t="shared" ref="E131:E194" si="7">YEAR(C131)</f>
        <v>2017</v>
      </c>
      <c r="F131" s="10">
        <v>43049</v>
      </c>
      <c r="G131" s="12">
        <f t="shared" ref="G131:G194" si="8">DATEDIF(C131,F131,"D")</f>
        <v>4</v>
      </c>
      <c r="H131" s="9" t="s">
        <v>19</v>
      </c>
      <c r="I131" s="9" t="s">
        <v>546</v>
      </c>
      <c r="J131" s="9" t="s">
        <v>547</v>
      </c>
      <c r="K131" s="9" t="s">
        <v>98</v>
      </c>
      <c r="L131" s="9" t="s">
        <v>23</v>
      </c>
      <c r="M131" s="9" t="s">
        <v>38</v>
      </c>
      <c r="N131" s="9" t="s">
        <v>39</v>
      </c>
      <c r="O131" s="9">
        <v>90004</v>
      </c>
      <c r="P131" s="9" t="s">
        <v>40</v>
      </c>
      <c r="Q131" s="9" t="s">
        <v>549</v>
      </c>
      <c r="R131" s="9" t="s">
        <v>28</v>
      </c>
      <c r="S131" s="9" t="s">
        <v>61</v>
      </c>
      <c r="T131" s="9" t="s">
        <v>550</v>
      </c>
      <c r="U131" s="11">
        <v>238.56</v>
      </c>
    </row>
    <row r="132" spans="1:21" x14ac:dyDescent="0.3">
      <c r="A132" s="4">
        <v>131</v>
      </c>
      <c r="B132" s="5" t="s">
        <v>551</v>
      </c>
      <c r="C132" s="6">
        <v>43133</v>
      </c>
      <c r="D132" s="6" t="str">
        <f t="shared" si="6"/>
        <v>Feb</v>
      </c>
      <c r="E132" s="12">
        <f t="shared" si="7"/>
        <v>2018</v>
      </c>
      <c r="F132" s="6">
        <v>43136</v>
      </c>
      <c r="G132" s="12">
        <f t="shared" si="8"/>
        <v>3</v>
      </c>
      <c r="H132" s="5" t="s">
        <v>184</v>
      </c>
      <c r="I132" s="5" t="s">
        <v>552</v>
      </c>
      <c r="J132" s="5" t="s">
        <v>553</v>
      </c>
      <c r="K132" s="5" t="s">
        <v>37</v>
      </c>
      <c r="L132" s="5" t="s">
        <v>23</v>
      </c>
      <c r="M132" s="5" t="s">
        <v>493</v>
      </c>
      <c r="N132" s="5" t="s">
        <v>494</v>
      </c>
      <c r="O132" s="5">
        <v>43229</v>
      </c>
      <c r="P132" s="5" t="s">
        <v>144</v>
      </c>
      <c r="Q132" s="5" t="s">
        <v>554</v>
      </c>
      <c r="R132" s="5" t="s">
        <v>67</v>
      </c>
      <c r="S132" s="5" t="s">
        <v>68</v>
      </c>
      <c r="T132" s="5" t="s">
        <v>555</v>
      </c>
      <c r="U132" s="7">
        <v>59.97</v>
      </c>
    </row>
    <row r="133" spans="1:21" x14ac:dyDescent="0.3">
      <c r="A133" s="8">
        <v>132</v>
      </c>
      <c r="B133" s="9" t="s">
        <v>551</v>
      </c>
      <c r="C133" s="10">
        <v>43133</v>
      </c>
      <c r="D133" s="6" t="str">
        <f t="shared" si="6"/>
        <v>Feb</v>
      </c>
      <c r="E133" s="12">
        <f t="shared" si="7"/>
        <v>2018</v>
      </c>
      <c r="F133" s="10">
        <v>43136</v>
      </c>
      <c r="G133" s="12">
        <f t="shared" si="8"/>
        <v>3</v>
      </c>
      <c r="H133" s="9" t="s">
        <v>184</v>
      </c>
      <c r="I133" s="9" t="s">
        <v>552</v>
      </c>
      <c r="J133" s="9" t="s">
        <v>553</v>
      </c>
      <c r="K133" s="9" t="s">
        <v>37</v>
      </c>
      <c r="L133" s="9" t="s">
        <v>23</v>
      </c>
      <c r="M133" s="9" t="s">
        <v>493</v>
      </c>
      <c r="N133" s="9" t="s">
        <v>494</v>
      </c>
      <c r="O133" s="9">
        <v>43229</v>
      </c>
      <c r="P133" s="9" t="s">
        <v>144</v>
      </c>
      <c r="Q133" s="9" t="s">
        <v>556</v>
      </c>
      <c r="R133" s="9" t="s">
        <v>42</v>
      </c>
      <c r="S133" s="9" t="s">
        <v>86</v>
      </c>
      <c r="T133" s="9" t="s">
        <v>557</v>
      </c>
      <c r="U133" s="11">
        <v>78.304000000000002</v>
      </c>
    </row>
    <row r="134" spans="1:21" x14ac:dyDescent="0.3">
      <c r="A134" s="4">
        <v>133</v>
      </c>
      <c r="B134" s="5" t="s">
        <v>551</v>
      </c>
      <c r="C134" s="6">
        <v>43133</v>
      </c>
      <c r="D134" s="6" t="str">
        <f t="shared" si="6"/>
        <v>Feb</v>
      </c>
      <c r="E134" s="12">
        <f t="shared" si="7"/>
        <v>2018</v>
      </c>
      <c r="F134" s="6">
        <v>43136</v>
      </c>
      <c r="G134" s="12">
        <f t="shared" si="8"/>
        <v>3</v>
      </c>
      <c r="H134" s="5" t="s">
        <v>184</v>
      </c>
      <c r="I134" s="5" t="s">
        <v>552</v>
      </c>
      <c r="J134" s="5" t="s">
        <v>553</v>
      </c>
      <c r="K134" s="5" t="s">
        <v>37</v>
      </c>
      <c r="L134" s="5" t="s">
        <v>23</v>
      </c>
      <c r="M134" s="5" t="s">
        <v>493</v>
      </c>
      <c r="N134" s="5" t="s">
        <v>494</v>
      </c>
      <c r="O134" s="5">
        <v>43229</v>
      </c>
      <c r="P134" s="5" t="s">
        <v>144</v>
      </c>
      <c r="Q134" s="5" t="s">
        <v>558</v>
      </c>
      <c r="R134" s="5" t="s">
        <v>42</v>
      </c>
      <c r="S134" s="5" t="s">
        <v>265</v>
      </c>
      <c r="T134" s="5" t="s">
        <v>559</v>
      </c>
      <c r="U134" s="7">
        <v>21.456</v>
      </c>
    </row>
    <row r="135" spans="1:21" x14ac:dyDescent="0.3">
      <c r="A135" s="8">
        <v>134</v>
      </c>
      <c r="B135" s="9" t="s">
        <v>560</v>
      </c>
      <c r="C135" s="10">
        <v>43021</v>
      </c>
      <c r="D135" s="6" t="str">
        <f t="shared" si="6"/>
        <v>Oct</v>
      </c>
      <c r="E135" s="12">
        <f t="shared" si="7"/>
        <v>2017</v>
      </c>
      <c r="F135" s="10">
        <v>43027</v>
      </c>
      <c r="G135" s="12">
        <f t="shared" si="8"/>
        <v>6</v>
      </c>
      <c r="H135" s="9" t="s">
        <v>46</v>
      </c>
      <c r="I135" s="9" t="s">
        <v>561</v>
      </c>
      <c r="J135" s="9" t="s">
        <v>562</v>
      </c>
      <c r="K135" s="9" t="s">
        <v>22</v>
      </c>
      <c r="L135" s="9" t="s">
        <v>23</v>
      </c>
      <c r="M135" s="9" t="s">
        <v>563</v>
      </c>
      <c r="N135" s="9" t="s">
        <v>39</v>
      </c>
      <c r="O135" s="9">
        <v>95661</v>
      </c>
      <c r="P135" s="9" t="s">
        <v>40</v>
      </c>
      <c r="Q135" s="9" t="s">
        <v>564</v>
      </c>
      <c r="R135" s="9" t="s">
        <v>42</v>
      </c>
      <c r="S135" s="9" t="s">
        <v>86</v>
      </c>
      <c r="T135" s="9" t="s">
        <v>565</v>
      </c>
      <c r="U135" s="11">
        <v>20.04</v>
      </c>
    </row>
    <row r="136" spans="1:21" x14ac:dyDescent="0.3">
      <c r="A136" s="4">
        <v>135</v>
      </c>
      <c r="B136" s="5" t="s">
        <v>560</v>
      </c>
      <c r="C136" s="6">
        <v>43021</v>
      </c>
      <c r="D136" s="6" t="str">
        <f t="shared" si="6"/>
        <v>Oct</v>
      </c>
      <c r="E136" s="12">
        <f t="shared" si="7"/>
        <v>2017</v>
      </c>
      <c r="F136" s="6">
        <v>43027</v>
      </c>
      <c r="G136" s="12">
        <f t="shared" si="8"/>
        <v>6</v>
      </c>
      <c r="H136" s="5" t="s">
        <v>46</v>
      </c>
      <c r="I136" s="5" t="s">
        <v>561</v>
      </c>
      <c r="J136" s="5" t="s">
        <v>562</v>
      </c>
      <c r="K136" s="5" t="s">
        <v>22</v>
      </c>
      <c r="L136" s="5" t="s">
        <v>23</v>
      </c>
      <c r="M136" s="5" t="s">
        <v>563</v>
      </c>
      <c r="N136" s="5" t="s">
        <v>39</v>
      </c>
      <c r="O136" s="5">
        <v>95661</v>
      </c>
      <c r="P136" s="5" t="s">
        <v>40</v>
      </c>
      <c r="Q136" s="5" t="s">
        <v>566</v>
      </c>
      <c r="R136" s="5" t="s">
        <v>42</v>
      </c>
      <c r="S136" s="5" t="s">
        <v>86</v>
      </c>
      <c r="T136" s="5" t="s">
        <v>567</v>
      </c>
      <c r="U136" s="7">
        <v>35.44</v>
      </c>
    </row>
    <row r="137" spans="1:21" x14ac:dyDescent="0.3">
      <c r="A137" s="8">
        <v>136</v>
      </c>
      <c r="B137" s="9" t="s">
        <v>560</v>
      </c>
      <c r="C137" s="10">
        <v>43021</v>
      </c>
      <c r="D137" s="6" t="str">
        <f t="shared" si="6"/>
        <v>Oct</v>
      </c>
      <c r="E137" s="12">
        <f t="shared" si="7"/>
        <v>2017</v>
      </c>
      <c r="F137" s="10">
        <v>43027</v>
      </c>
      <c r="G137" s="12">
        <f t="shared" si="8"/>
        <v>6</v>
      </c>
      <c r="H137" s="9" t="s">
        <v>46</v>
      </c>
      <c r="I137" s="9" t="s">
        <v>561</v>
      </c>
      <c r="J137" s="9" t="s">
        <v>562</v>
      </c>
      <c r="K137" s="9" t="s">
        <v>22</v>
      </c>
      <c r="L137" s="9" t="s">
        <v>23</v>
      </c>
      <c r="M137" s="9" t="s">
        <v>563</v>
      </c>
      <c r="N137" s="9" t="s">
        <v>39</v>
      </c>
      <c r="O137" s="9">
        <v>95661</v>
      </c>
      <c r="P137" s="9" t="s">
        <v>40</v>
      </c>
      <c r="Q137" s="9" t="s">
        <v>568</v>
      </c>
      <c r="R137" s="9" t="s">
        <v>42</v>
      </c>
      <c r="S137" s="9" t="s">
        <v>64</v>
      </c>
      <c r="T137" s="9" t="s">
        <v>569</v>
      </c>
      <c r="U137" s="11">
        <v>11.52</v>
      </c>
    </row>
    <row r="138" spans="1:21" x14ac:dyDescent="0.3">
      <c r="A138" s="4">
        <v>137</v>
      </c>
      <c r="B138" s="5" t="s">
        <v>560</v>
      </c>
      <c r="C138" s="6">
        <v>43021</v>
      </c>
      <c r="D138" s="6" t="str">
        <f t="shared" si="6"/>
        <v>Oct</v>
      </c>
      <c r="E138" s="12">
        <f t="shared" si="7"/>
        <v>2017</v>
      </c>
      <c r="F138" s="6">
        <v>43027</v>
      </c>
      <c r="G138" s="12">
        <f t="shared" si="8"/>
        <v>6</v>
      </c>
      <c r="H138" s="5" t="s">
        <v>46</v>
      </c>
      <c r="I138" s="5" t="s">
        <v>561</v>
      </c>
      <c r="J138" s="5" t="s">
        <v>562</v>
      </c>
      <c r="K138" s="5" t="s">
        <v>22</v>
      </c>
      <c r="L138" s="5" t="s">
        <v>23</v>
      </c>
      <c r="M138" s="5" t="s">
        <v>563</v>
      </c>
      <c r="N138" s="5" t="s">
        <v>39</v>
      </c>
      <c r="O138" s="5">
        <v>95661</v>
      </c>
      <c r="P138" s="5" t="s">
        <v>40</v>
      </c>
      <c r="Q138" s="5" t="s">
        <v>570</v>
      </c>
      <c r="R138" s="5" t="s">
        <v>42</v>
      </c>
      <c r="S138" s="5" t="s">
        <v>265</v>
      </c>
      <c r="T138" s="5" t="s">
        <v>571</v>
      </c>
      <c r="U138" s="7">
        <v>4.0199999999999996</v>
      </c>
    </row>
    <row r="139" spans="1:21" x14ac:dyDescent="0.3">
      <c r="A139" s="8">
        <v>138</v>
      </c>
      <c r="B139" s="9" t="s">
        <v>560</v>
      </c>
      <c r="C139" s="10">
        <v>43021</v>
      </c>
      <c r="D139" s="6" t="str">
        <f t="shared" si="6"/>
        <v>Oct</v>
      </c>
      <c r="E139" s="12">
        <f t="shared" si="7"/>
        <v>2017</v>
      </c>
      <c r="F139" s="10">
        <v>43027</v>
      </c>
      <c r="G139" s="12">
        <f t="shared" si="8"/>
        <v>6</v>
      </c>
      <c r="H139" s="9" t="s">
        <v>46</v>
      </c>
      <c r="I139" s="9" t="s">
        <v>561</v>
      </c>
      <c r="J139" s="9" t="s">
        <v>562</v>
      </c>
      <c r="K139" s="9" t="s">
        <v>22</v>
      </c>
      <c r="L139" s="9" t="s">
        <v>23</v>
      </c>
      <c r="M139" s="9" t="s">
        <v>563</v>
      </c>
      <c r="N139" s="9" t="s">
        <v>39</v>
      </c>
      <c r="O139" s="9">
        <v>95661</v>
      </c>
      <c r="P139" s="9" t="s">
        <v>40</v>
      </c>
      <c r="Q139" s="9" t="s">
        <v>572</v>
      </c>
      <c r="R139" s="9" t="s">
        <v>42</v>
      </c>
      <c r="S139" s="9" t="s">
        <v>71</v>
      </c>
      <c r="T139" s="9" t="s">
        <v>573</v>
      </c>
      <c r="U139" s="11">
        <v>76.176000000000002</v>
      </c>
    </row>
    <row r="140" spans="1:21" x14ac:dyDescent="0.3">
      <c r="A140" s="4">
        <v>139</v>
      </c>
      <c r="B140" s="5" t="s">
        <v>560</v>
      </c>
      <c r="C140" s="6">
        <v>43021</v>
      </c>
      <c r="D140" s="6" t="str">
        <f t="shared" si="6"/>
        <v>Oct</v>
      </c>
      <c r="E140" s="12">
        <f t="shared" si="7"/>
        <v>2017</v>
      </c>
      <c r="F140" s="6">
        <v>43027</v>
      </c>
      <c r="G140" s="12">
        <f t="shared" si="8"/>
        <v>6</v>
      </c>
      <c r="H140" s="5" t="s">
        <v>46</v>
      </c>
      <c r="I140" s="5" t="s">
        <v>561</v>
      </c>
      <c r="J140" s="5" t="s">
        <v>562</v>
      </c>
      <c r="K140" s="5" t="s">
        <v>22</v>
      </c>
      <c r="L140" s="5" t="s">
        <v>23</v>
      </c>
      <c r="M140" s="5" t="s">
        <v>563</v>
      </c>
      <c r="N140" s="5" t="s">
        <v>39</v>
      </c>
      <c r="O140" s="5">
        <v>95661</v>
      </c>
      <c r="P140" s="5" t="s">
        <v>40</v>
      </c>
      <c r="Q140" s="5" t="s">
        <v>574</v>
      </c>
      <c r="R140" s="5" t="s">
        <v>42</v>
      </c>
      <c r="S140" s="5" t="s">
        <v>575</v>
      </c>
      <c r="T140" s="5" t="s">
        <v>576</v>
      </c>
      <c r="U140" s="7">
        <v>65.88</v>
      </c>
    </row>
    <row r="141" spans="1:21" x14ac:dyDescent="0.3">
      <c r="A141" s="8">
        <v>140</v>
      </c>
      <c r="B141" s="9" t="s">
        <v>560</v>
      </c>
      <c r="C141" s="10">
        <v>43021</v>
      </c>
      <c r="D141" s="6" t="str">
        <f t="shared" si="6"/>
        <v>Oct</v>
      </c>
      <c r="E141" s="12">
        <f t="shared" si="7"/>
        <v>2017</v>
      </c>
      <c r="F141" s="10">
        <v>43027</v>
      </c>
      <c r="G141" s="12">
        <f t="shared" si="8"/>
        <v>6</v>
      </c>
      <c r="H141" s="9" t="s">
        <v>46</v>
      </c>
      <c r="I141" s="9" t="s">
        <v>561</v>
      </c>
      <c r="J141" s="9" t="s">
        <v>562</v>
      </c>
      <c r="K141" s="9" t="s">
        <v>22</v>
      </c>
      <c r="L141" s="9" t="s">
        <v>23</v>
      </c>
      <c r="M141" s="9" t="s">
        <v>563</v>
      </c>
      <c r="N141" s="9" t="s">
        <v>39</v>
      </c>
      <c r="O141" s="9">
        <v>95661</v>
      </c>
      <c r="P141" s="9" t="s">
        <v>40</v>
      </c>
      <c r="Q141" s="9" t="s">
        <v>255</v>
      </c>
      <c r="R141" s="9" t="s">
        <v>28</v>
      </c>
      <c r="S141" s="9" t="s">
        <v>61</v>
      </c>
      <c r="T141" s="9" t="s">
        <v>256</v>
      </c>
      <c r="U141" s="11">
        <v>43.12</v>
      </c>
    </row>
    <row r="142" spans="1:21" x14ac:dyDescent="0.3">
      <c r="A142" s="4">
        <v>141</v>
      </c>
      <c r="B142" s="5" t="s">
        <v>577</v>
      </c>
      <c r="C142" s="6">
        <v>42983</v>
      </c>
      <c r="D142" s="6" t="str">
        <f t="shared" si="6"/>
        <v>Sep</v>
      </c>
      <c r="E142" s="12">
        <f t="shared" si="7"/>
        <v>2017</v>
      </c>
      <c r="F142" s="6">
        <v>42985</v>
      </c>
      <c r="G142" s="12">
        <f t="shared" si="8"/>
        <v>2</v>
      </c>
      <c r="H142" s="5" t="s">
        <v>19</v>
      </c>
      <c r="I142" s="5" t="s">
        <v>578</v>
      </c>
      <c r="J142" s="5" t="s">
        <v>579</v>
      </c>
      <c r="K142" s="5" t="s">
        <v>37</v>
      </c>
      <c r="L142" s="5" t="s">
        <v>23</v>
      </c>
      <c r="M142" s="5" t="s">
        <v>142</v>
      </c>
      <c r="N142" s="5" t="s">
        <v>143</v>
      </c>
      <c r="O142" s="5">
        <v>19140</v>
      </c>
      <c r="P142" s="5" t="s">
        <v>144</v>
      </c>
      <c r="Q142" s="5" t="s">
        <v>166</v>
      </c>
      <c r="R142" s="5" t="s">
        <v>28</v>
      </c>
      <c r="S142" s="5" t="s">
        <v>61</v>
      </c>
      <c r="T142" s="5" t="s">
        <v>167</v>
      </c>
      <c r="U142" s="7">
        <v>82.8</v>
      </c>
    </row>
    <row r="143" spans="1:21" x14ac:dyDescent="0.3">
      <c r="A143" s="8">
        <v>142</v>
      </c>
      <c r="B143" s="9" t="s">
        <v>580</v>
      </c>
      <c r="C143" s="10">
        <v>43361</v>
      </c>
      <c r="D143" s="6" t="str">
        <f t="shared" si="6"/>
        <v>Sep</v>
      </c>
      <c r="E143" s="12">
        <f t="shared" si="7"/>
        <v>2018</v>
      </c>
      <c r="F143" s="10">
        <v>43366</v>
      </c>
      <c r="G143" s="12">
        <f t="shared" si="8"/>
        <v>5</v>
      </c>
      <c r="H143" s="9" t="s">
        <v>46</v>
      </c>
      <c r="I143" s="9" t="s">
        <v>581</v>
      </c>
      <c r="J143" s="9" t="s">
        <v>582</v>
      </c>
      <c r="K143" s="9" t="s">
        <v>37</v>
      </c>
      <c r="L143" s="9" t="s">
        <v>23</v>
      </c>
      <c r="M143" s="9" t="s">
        <v>123</v>
      </c>
      <c r="N143" s="9" t="s">
        <v>39</v>
      </c>
      <c r="O143" s="9">
        <v>94122</v>
      </c>
      <c r="P143" s="9" t="s">
        <v>40</v>
      </c>
      <c r="Q143" s="9" t="s">
        <v>583</v>
      </c>
      <c r="R143" s="9" t="s">
        <v>42</v>
      </c>
      <c r="S143" s="9" t="s">
        <v>64</v>
      </c>
      <c r="T143" s="9" t="s">
        <v>584</v>
      </c>
      <c r="U143" s="11">
        <v>8.82</v>
      </c>
    </row>
    <row r="144" spans="1:21" x14ac:dyDescent="0.3">
      <c r="A144" s="4">
        <v>143</v>
      </c>
      <c r="B144" s="5" t="s">
        <v>580</v>
      </c>
      <c r="C144" s="6">
        <v>43361</v>
      </c>
      <c r="D144" s="6" t="str">
        <f t="shared" si="6"/>
        <v>Sep</v>
      </c>
      <c r="E144" s="12">
        <f t="shared" si="7"/>
        <v>2018</v>
      </c>
      <c r="F144" s="6">
        <v>43366</v>
      </c>
      <c r="G144" s="12">
        <f t="shared" si="8"/>
        <v>5</v>
      </c>
      <c r="H144" s="5" t="s">
        <v>46</v>
      </c>
      <c r="I144" s="5" t="s">
        <v>581</v>
      </c>
      <c r="J144" s="5" t="s">
        <v>582</v>
      </c>
      <c r="K144" s="5" t="s">
        <v>37</v>
      </c>
      <c r="L144" s="5" t="s">
        <v>23</v>
      </c>
      <c r="M144" s="5" t="s">
        <v>123</v>
      </c>
      <c r="N144" s="5" t="s">
        <v>39</v>
      </c>
      <c r="O144" s="5">
        <v>94122</v>
      </c>
      <c r="P144" s="5" t="s">
        <v>40</v>
      </c>
      <c r="Q144" s="5" t="s">
        <v>585</v>
      </c>
      <c r="R144" s="5" t="s">
        <v>42</v>
      </c>
      <c r="S144" s="5" t="s">
        <v>169</v>
      </c>
      <c r="T144" s="5" t="s">
        <v>586</v>
      </c>
      <c r="U144" s="7">
        <v>10.86</v>
      </c>
    </row>
    <row r="145" spans="1:21" x14ac:dyDescent="0.3">
      <c r="A145" s="8">
        <v>144</v>
      </c>
      <c r="B145" s="9" t="s">
        <v>580</v>
      </c>
      <c r="C145" s="10">
        <v>43361</v>
      </c>
      <c r="D145" s="6" t="str">
        <f t="shared" si="6"/>
        <v>Sep</v>
      </c>
      <c r="E145" s="12">
        <f t="shared" si="7"/>
        <v>2018</v>
      </c>
      <c r="F145" s="10">
        <v>43366</v>
      </c>
      <c r="G145" s="12">
        <f t="shared" si="8"/>
        <v>5</v>
      </c>
      <c r="H145" s="9" t="s">
        <v>46</v>
      </c>
      <c r="I145" s="9" t="s">
        <v>581</v>
      </c>
      <c r="J145" s="9" t="s">
        <v>582</v>
      </c>
      <c r="K145" s="9" t="s">
        <v>37</v>
      </c>
      <c r="L145" s="9" t="s">
        <v>23</v>
      </c>
      <c r="M145" s="9" t="s">
        <v>123</v>
      </c>
      <c r="N145" s="9" t="s">
        <v>39</v>
      </c>
      <c r="O145" s="9">
        <v>94122</v>
      </c>
      <c r="P145" s="9" t="s">
        <v>40</v>
      </c>
      <c r="Q145" s="9" t="s">
        <v>587</v>
      </c>
      <c r="R145" s="9" t="s">
        <v>42</v>
      </c>
      <c r="S145" s="9" t="s">
        <v>86</v>
      </c>
      <c r="T145" s="9" t="s">
        <v>588</v>
      </c>
      <c r="U145" s="11">
        <v>143.69999999999999</v>
      </c>
    </row>
    <row r="146" spans="1:21" x14ac:dyDescent="0.3">
      <c r="A146" s="4">
        <v>145</v>
      </c>
      <c r="B146" s="5" t="s">
        <v>589</v>
      </c>
      <c r="C146" s="6">
        <v>43456</v>
      </c>
      <c r="D146" s="6" t="str">
        <f t="shared" si="6"/>
        <v>Dec</v>
      </c>
      <c r="E146" s="12">
        <f t="shared" si="7"/>
        <v>2018</v>
      </c>
      <c r="F146" s="6">
        <v>43461</v>
      </c>
      <c r="G146" s="12">
        <f t="shared" si="8"/>
        <v>5</v>
      </c>
      <c r="H146" s="5" t="s">
        <v>46</v>
      </c>
      <c r="I146" s="5" t="s">
        <v>590</v>
      </c>
      <c r="J146" s="5" t="s">
        <v>591</v>
      </c>
      <c r="K146" s="5" t="s">
        <v>22</v>
      </c>
      <c r="L146" s="5" t="s">
        <v>23</v>
      </c>
      <c r="M146" s="5" t="s">
        <v>592</v>
      </c>
      <c r="N146" s="5" t="s">
        <v>593</v>
      </c>
      <c r="O146" s="5">
        <v>64055</v>
      </c>
      <c r="P146" s="5" t="s">
        <v>101</v>
      </c>
      <c r="Q146" s="5" t="s">
        <v>594</v>
      </c>
      <c r="R146" s="5" t="s">
        <v>42</v>
      </c>
      <c r="S146" s="5" t="s">
        <v>74</v>
      </c>
      <c r="T146" s="5" t="s">
        <v>595</v>
      </c>
      <c r="U146" s="7">
        <v>839.43</v>
      </c>
    </row>
    <row r="147" spans="1:21" x14ac:dyDescent="0.3">
      <c r="A147" s="8">
        <v>146</v>
      </c>
      <c r="B147" s="9" t="s">
        <v>596</v>
      </c>
      <c r="C147" s="10">
        <v>42620</v>
      </c>
      <c r="D147" s="6" t="str">
        <f t="shared" si="6"/>
        <v>Sep</v>
      </c>
      <c r="E147" s="12">
        <f t="shared" si="7"/>
        <v>2016</v>
      </c>
      <c r="F147" s="10">
        <v>42625</v>
      </c>
      <c r="G147" s="12">
        <f t="shared" si="8"/>
        <v>5</v>
      </c>
      <c r="H147" s="9" t="s">
        <v>46</v>
      </c>
      <c r="I147" s="9" t="s">
        <v>597</v>
      </c>
      <c r="J147" s="9" t="s">
        <v>598</v>
      </c>
      <c r="K147" s="9" t="s">
        <v>22</v>
      </c>
      <c r="L147" s="9" t="s">
        <v>23</v>
      </c>
      <c r="M147" s="9" t="s">
        <v>599</v>
      </c>
      <c r="N147" s="9" t="s">
        <v>39</v>
      </c>
      <c r="O147" s="9">
        <v>91104</v>
      </c>
      <c r="P147" s="9" t="s">
        <v>40</v>
      </c>
      <c r="Q147" s="9" t="s">
        <v>375</v>
      </c>
      <c r="R147" s="9" t="s">
        <v>42</v>
      </c>
      <c r="S147" s="9" t="s">
        <v>55</v>
      </c>
      <c r="T147" s="9" t="s">
        <v>376</v>
      </c>
      <c r="U147" s="11">
        <v>671.93</v>
      </c>
    </row>
    <row r="148" spans="1:21" x14ac:dyDescent="0.3">
      <c r="A148" s="4">
        <v>147</v>
      </c>
      <c r="B148" s="5" t="s">
        <v>600</v>
      </c>
      <c r="C148" s="6">
        <v>42299</v>
      </c>
      <c r="D148" s="6" t="str">
        <f t="shared" si="6"/>
        <v>Oct</v>
      </c>
      <c r="E148" s="12">
        <f t="shared" si="7"/>
        <v>2015</v>
      </c>
      <c r="F148" s="6">
        <v>42305</v>
      </c>
      <c r="G148" s="12">
        <f t="shared" si="8"/>
        <v>6</v>
      </c>
      <c r="H148" s="5" t="s">
        <v>46</v>
      </c>
      <c r="I148" s="5" t="s">
        <v>601</v>
      </c>
      <c r="J148" s="5" t="s">
        <v>602</v>
      </c>
      <c r="K148" s="5" t="s">
        <v>98</v>
      </c>
      <c r="L148" s="5" t="s">
        <v>23</v>
      </c>
      <c r="M148" s="5" t="s">
        <v>603</v>
      </c>
      <c r="N148" s="5" t="s">
        <v>494</v>
      </c>
      <c r="O148" s="5">
        <v>43055</v>
      </c>
      <c r="P148" s="5" t="s">
        <v>144</v>
      </c>
      <c r="Q148" s="5" t="s">
        <v>604</v>
      </c>
      <c r="R148" s="5" t="s">
        <v>28</v>
      </c>
      <c r="S148" s="5" t="s">
        <v>61</v>
      </c>
      <c r="T148" s="5" t="s">
        <v>605</v>
      </c>
      <c r="U148" s="7">
        <v>93.888000000000005</v>
      </c>
    </row>
    <row r="149" spans="1:21" x14ac:dyDescent="0.3">
      <c r="A149" s="8">
        <v>148</v>
      </c>
      <c r="B149" s="9" t="s">
        <v>606</v>
      </c>
      <c r="C149" s="10">
        <v>43074</v>
      </c>
      <c r="D149" s="6" t="str">
        <f t="shared" si="6"/>
        <v>Dec</v>
      </c>
      <c r="E149" s="12">
        <f t="shared" si="7"/>
        <v>2017</v>
      </c>
      <c r="F149" s="10">
        <v>43078</v>
      </c>
      <c r="G149" s="12">
        <f t="shared" si="8"/>
        <v>4</v>
      </c>
      <c r="H149" s="9" t="s">
        <v>46</v>
      </c>
      <c r="I149" s="9" t="s">
        <v>607</v>
      </c>
      <c r="J149" s="9" t="s">
        <v>608</v>
      </c>
      <c r="K149" s="9" t="s">
        <v>37</v>
      </c>
      <c r="L149" s="9" t="s">
        <v>23</v>
      </c>
      <c r="M149" s="9" t="s">
        <v>609</v>
      </c>
      <c r="N149" s="9" t="s">
        <v>110</v>
      </c>
      <c r="O149" s="9">
        <v>53132</v>
      </c>
      <c r="P149" s="9" t="s">
        <v>101</v>
      </c>
      <c r="Q149" s="9" t="s">
        <v>610</v>
      </c>
      <c r="R149" s="9" t="s">
        <v>67</v>
      </c>
      <c r="S149" s="9" t="s">
        <v>68</v>
      </c>
      <c r="T149" s="9" t="s">
        <v>611</v>
      </c>
      <c r="U149" s="11">
        <v>384.45</v>
      </c>
    </row>
    <row r="150" spans="1:21" x14ac:dyDescent="0.3">
      <c r="A150" s="4">
        <v>149</v>
      </c>
      <c r="B150" s="5" t="s">
        <v>606</v>
      </c>
      <c r="C150" s="6">
        <v>43074</v>
      </c>
      <c r="D150" s="6" t="str">
        <f t="shared" si="6"/>
        <v>Dec</v>
      </c>
      <c r="E150" s="12">
        <f t="shared" si="7"/>
        <v>2017</v>
      </c>
      <c r="F150" s="6">
        <v>43078</v>
      </c>
      <c r="G150" s="12">
        <f t="shared" si="8"/>
        <v>4</v>
      </c>
      <c r="H150" s="5" t="s">
        <v>46</v>
      </c>
      <c r="I150" s="5" t="s">
        <v>607</v>
      </c>
      <c r="J150" s="5" t="s">
        <v>608</v>
      </c>
      <c r="K150" s="5" t="s">
        <v>37</v>
      </c>
      <c r="L150" s="5" t="s">
        <v>23</v>
      </c>
      <c r="M150" s="5" t="s">
        <v>609</v>
      </c>
      <c r="N150" s="5" t="s">
        <v>110</v>
      </c>
      <c r="O150" s="5">
        <v>53132</v>
      </c>
      <c r="P150" s="5" t="s">
        <v>101</v>
      </c>
      <c r="Q150" s="5" t="s">
        <v>612</v>
      </c>
      <c r="R150" s="5" t="s">
        <v>67</v>
      </c>
      <c r="S150" s="5" t="s">
        <v>68</v>
      </c>
      <c r="T150" s="5" t="s">
        <v>613</v>
      </c>
      <c r="U150" s="7">
        <v>149.97</v>
      </c>
    </row>
    <row r="151" spans="1:21" x14ac:dyDescent="0.3">
      <c r="A151" s="8">
        <v>150</v>
      </c>
      <c r="B151" s="9" t="s">
        <v>606</v>
      </c>
      <c r="C151" s="10">
        <v>43074</v>
      </c>
      <c r="D151" s="6" t="str">
        <f t="shared" si="6"/>
        <v>Dec</v>
      </c>
      <c r="E151" s="12">
        <f t="shared" si="7"/>
        <v>2017</v>
      </c>
      <c r="F151" s="10">
        <v>43078</v>
      </c>
      <c r="G151" s="12">
        <f t="shared" si="8"/>
        <v>4</v>
      </c>
      <c r="H151" s="9" t="s">
        <v>46</v>
      </c>
      <c r="I151" s="9" t="s">
        <v>607</v>
      </c>
      <c r="J151" s="9" t="s">
        <v>608</v>
      </c>
      <c r="K151" s="9" t="s">
        <v>37</v>
      </c>
      <c r="L151" s="9" t="s">
        <v>23</v>
      </c>
      <c r="M151" s="9" t="s">
        <v>609</v>
      </c>
      <c r="N151" s="9" t="s">
        <v>110</v>
      </c>
      <c r="O151" s="9">
        <v>53132</v>
      </c>
      <c r="P151" s="9" t="s">
        <v>101</v>
      </c>
      <c r="Q151" s="9" t="s">
        <v>31</v>
      </c>
      <c r="R151" s="9" t="s">
        <v>28</v>
      </c>
      <c r="S151" s="9" t="s">
        <v>32</v>
      </c>
      <c r="T151" s="9" t="s">
        <v>33</v>
      </c>
      <c r="U151" s="11">
        <v>1951.84</v>
      </c>
    </row>
    <row r="152" spans="1:21" x14ac:dyDescent="0.3">
      <c r="A152" s="4">
        <v>151</v>
      </c>
      <c r="B152" s="5" t="s">
        <v>606</v>
      </c>
      <c r="C152" s="6">
        <v>43074</v>
      </c>
      <c r="D152" s="6" t="str">
        <f t="shared" si="6"/>
        <v>Dec</v>
      </c>
      <c r="E152" s="12">
        <f t="shared" si="7"/>
        <v>2017</v>
      </c>
      <c r="F152" s="6">
        <v>43078</v>
      </c>
      <c r="G152" s="12">
        <f t="shared" si="8"/>
        <v>4</v>
      </c>
      <c r="H152" s="5" t="s">
        <v>46</v>
      </c>
      <c r="I152" s="5" t="s">
        <v>607</v>
      </c>
      <c r="J152" s="5" t="s">
        <v>608</v>
      </c>
      <c r="K152" s="5" t="s">
        <v>37</v>
      </c>
      <c r="L152" s="5" t="s">
        <v>23</v>
      </c>
      <c r="M152" s="5" t="s">
        <v>609</v>
      </c>
      <c r="N152" s="5" t="s">
        <v>110</v>
      </c>
      <c r="O152" s="5">
        <v>53132</v>
      </c>
      <c r="P152" s="5" t="s">
        <v>101</v>
      </c>
      <c r="Q152" s="5" t="s">
        <v>614</v>
      </c>
      <c r="R152" s="5" t="s">
        <v>42</v>
      </c>
      <c r="S152" s="5" t="s">
        <v>71</v>
      </c>
      <c r="T152" s="5" t="s">
        <v>615</v>
      </c>
      <c r="U152" s="7">
        <v>171.55</v>
      </c>
    </row>
    <row r="153" spans="1:21" x14ac:dyDescent="0.3">
      <c r="A153" s="8">
        <v>152</v>
      </c>
      <c r="B153" s="9" t="s">
        <v>616</v>
      </c>
      <c r="C153" s="10">
        <v>42807</v>
      </c>
      <c r="D153" s="6" t="str">
        <f t="shared" si="6"/>
        <v>Mar</v>
      </c>
      <c r="E153" s="12">
        <f t="shared" si="7"/>
        <v>2017</v>
      </c>
      <c r="F153" s="10">
        <v>42810</v>
      </c>
      <c r="G153" s="12">
        <f t="shared" si="8"/>
        <v>3</v>
      </c>
      <c r="H153" s="9" t="s">
        <v>184</v>
      </c>
      <c r="I153" s="9" t="s">
        <v>617</v>
      </c>
      <c r="J153" s="9" t="s">
        <v>618</v>
      </c>
      <c r="K153" s="9" t="s">
        <v>98</v>
      </c>
      <c r="L153" s="9" t="s">
        <v>23</v>
      </c>
      <c r="M153" s="9" t="s">
        <v>619</v>
      </c>
      <c r="N153" s="9" t="s">
        <v>306</v>
      </c>
      <c r="O153" s="9">
        <v>85254</v>
      </c>
      <c r="P153" s="9" t="s">
        <v>40</v>
      </c>
      <c r="Q153" s="9" t="s">
        <v>620</v>
      </c>
      <c r="R153" s="9" t="s">
        <v>42</v>
      </c>
      <c r="S153" s="9" t="s">
        <v>74</v>
      </c>
      <c r="T153" s="9" t="s">
        <v>621</v>
      </c>
      <c r="U153" s="11">
        <v>157.91999999999999</v>
      </c>
    </row>
    <row r="154" spans="1:21" x14ac:dyDescent="0.3">
      <c r="A154" s="4">
        <v>153</v>
      </c>
      <c r="B154" s="5" t="s">
        <v>616</v>
      </c>
      <c r="C154" s="6">
        <v>42807</v>
      </c>
      <c r="D154" s="6" t="str">
        <f t="shared" si="6"/>
        <v>Mar</v>
      </c>
      <c r="E154" s="12">
        <f t="shared" si="7"/>
        <v>2017</v>
      </c>
      <c r="F154" s="6">
        <v>42810</v>
      </c>
      <c r="G154" s="12">
        <f t="shared" si="8"/>
        <v>3</v>
      </c>
      <c r="H154" s="5" t="s">
        <v>184</v>
      </c>
      <c r="I154" s="5" t="s">
        <v>617</v>
      </c>
      <c r="J154" s="5" t="s">
        <v>618</v>
      </c>
      <c r="K154" s="5" t="s">
        <v>98</v>
      </c>
      <c r="L154" s="5" t="s">
        <v>23</v>
      </c>
      <c r="M154" s="5" t="s">
        <v>619</v>
      </c>
      <c r="N154" s="5" t="s">
        <v>306</v>
      </c>
      <c r="O154" s="5">
        <v>85254</v>
      </c>
      <c r="P154" s="5" t="s">
        <v>40</v>
      </c>
      <c r="Q154" s="5" t="s">
        <v>622</v>
      </c>
      <c r="R154" s="5" t="s">
        <v>67</v>
      </c>
      <c r="S154" s="5" t="s">
        <v>68</v>
      </c>
      <c r="T154" s="5" t="s">
        <v>623</v>
      </c>
      <c r="U154" s="7">
        <v>203.184</v>
      </c>
    </row>
    <row r="155" spans="1:21" x14ac:dyDescent="0.3">
      <c r="A155" s="8">
        <v>154</v>
      </c>
      <c r="B155" s="9" t="s">
        <v>624</v>
      </c>
      <c r="C155" s="10">
        <v>42521</v>
      </c>
      <c r="D155" s="6" t="str">
        <f t="shared" si="6"/>
        <v>May</v>
      </c>
      <c r="E155" s="12">
        <f t="shared" si="7"/>
        <v>2016</v>
      </c>
      <c r="F155" s="10">
        <v>42523</v>
      </c>
      <c r="G155" s="12">
        <f t="shared" si="8"/>
        <v>2</v>
      </c>
      <c r="H155" s="9" t="s">
        <v>184</v>
      </c>
      <c r="I155" s="9" t="s">
        <v>625</v>
      </c>
      <c r="J155" s="9" t="s">
        <v>626</v>
      </c>
      <c r="K155" s="9" t="s">
        <v>37</v>
      </c>
      <c r="L155" s="9" t="s">
        <v>23</v>
      </c>
      <c r="M155" s="9" t="s">
        <v>627</v>
      </c>
      <c r="N155" s="9" t="s">
        <v>39</v>
      </c>
      <c r="O155" s="9">
        <v>95123</v>
      </c>
      <c r="P155" s="9" t="s">
        <v>40</v>
      </c>
      <c r="Q155" s="9" t="s">
        <v>628</v>
      </c>
      <c r="R155" s="9" t="s">
        <v>42</v>
      </c>
      <c r="S155" s="9" t="s">
        <v>86</v>
      </c>
      <c r="T155" s="9" t="s">
        <v>629</v>
      </c>
      <c r="U155" s="11">
        <v>58.38</v>
      </c>
    </row>
    <row r="156" spans="1:21" x14ac:dyDescent="0.3">
      <c r="A156" s="4">
        <v>155</v>
      </c>
      <c r="B156" s="5" t="s">
        <v>624</v>
      </c>
      <c r="C156" s="6">
        <v>42521</v>
      </c>
      <c r="D156" s="6" t="str">
        <f t="shared" si="6"/>
        <v>May</v>
      </c>
      <c r="E156" s="12">
        <f t="shared" si="7"/>
        <v>2016</v>
      </c>
      <c r="F156" s="6">
        <v>42523</v>
      </c>
      <c r="G156" s="12">
        <f t="shared" si="8"/>
        <v>2</v>
      </c>
      <c r="H156" s="5" t="s">
        <v>184</v>
      </c>
      <c r="I156" s="5" t="s">
        <v>625</v>
      </c>
      <c r="J156" s="5" t="s">
        <v>626</v>
      </c>
      <c r="K156" s="5" t="s">
        <v>37</v>
      </c>
      <c r="L156" s="5" t="s">
        <v>23</v>
      </c>
      <c r="M156" s="5" t="s">
        <v>627</v>
      </c>
      <c r="N156" s="5" t="s">
        <v>39</v>
      </c>
      <c r="O156" s="5">
        <v>95123</v>
      </c>
      <c r="P156" s="5" t="s">
        <v>40</v>
      </c>
      <c r="Q156" s="5" t="s">
        <v>630</v>
      </c>
      <c r="R156" s="5" t="s">
        <v>42</v>
      </c>
      <c r="S156" s="5" t="s">
        <v>86</v>
      </c>
      <c r="T156" s="5" t="s">
        <v>631</v>
      </c>
      <c r="U156" s="7">
        <v>105.52</v>
      </c>
    </row>
    <row r="157" spans="1:21" x14ac:dyDescent="0.3">
      <c r="A157" s="8">
        <v>156</v>
      </c>
      <c r="B157" s="9" t="s">
        <v>624</v>
      </c>
      <c r="C157" s="10">
        <v>42521</v>
      </c>
      <c r="D157" s="6" t="str">
        <f t="shared" si="6"/>
        <v>May</v>
      </c>
      <c r="E157" s="12">
        <f t="shared" si="7"/>
        <v>2016</v>
      </c>
      <c r="F157" s="10">
        <v>42523</v>
      </c>
      <c r="G157" s="12">
        <f t="shared" si="8"/>
        <v>2</v>
      </c>
      <c r="H157" s="9" t="s">
        <v>184</v>
      </c>
      <c r="I157" s="9" t="s">
        <v>625</v>
      </c>
      <c r="J157" s="9" t="s">
        <v>626</v>
      </c>
      <c r="K157" s="9" t="s">
        <v>37</v>
      </c>
      <c r="L157" s="9" t="s">
        <v>23</v>
      </c>
      <c r="M157" s="9" t="s">
        <v>627</v>
      </c>
      <c r="N157" s="9" t="s">
        <v>39</v>
      </c>
      <c r="O157" s="9">
        <v>95123</v>
      </c>
      <c r="P157" s="9" t="s">
        <v>40</v>
      </c>
      <c r="Q157" s="9" t="s">
        <v>632</v>
      </c>
      <c r="R157" s="9" t="s">
        <v>42</v>
      </c>
      <c r="S157" s="9" t="s">
        <v>55</v>
      </c>
      <c r="T157" s="9" t="s">
        <v>633</v>
      </c>
      <c r="U157" s="11">
        <v>80.88</v>
      </c>
    </row>
    <row r="158" spans="1:21" x14ac:dyDescent="0.3">
      <c r="A158" s="4">
        <v>157</v>
      </c>
      <c r="B158" s="5" t="s">
        <v>634</v>
      </c>
      <c r="C158" s="6">
        <v>42518</v>
      </c>
      <c r="D158" s="6" t="str">
        <f t="shared" si="6"/>
        <v>May</v>
      </c>
      <c r="E158" s="12">
        <f t="shared" si="7"/>
        <v>2016</v>
      </c>
      <c r="F158" s="6">
        <v>42524</v>
      </c>
      <c r="G158" s="12">
        <f t="shared" si="8"/>
        <v>6</v>
      </c>
      <c r="H158" s="5" t="s">
        <v>46</v>
      </c>
      <c r="I158" s="5" t="s">
        <v>635</v>
      </c>
      <c r="J158" s="5" t="s">
        <v>636</v>
      </c>
      <c r="K158" s="5" t="s">
        <v>98</v>
      </c>
      <c r="L158" s="5" t="s">
        <v>23</v>
      </c>
      <c r="M158" s="5" t="s">
        <v>91</v>
      </c>
      <c r="N158" s="5" t="s">
        <v>92</v>
      </c>
      <c r="O158" s="5">
        <v>98105</v>
      </c>
      <c r="P158" s="5" t="s">
        <v>40</v>
      </c>
      <c r="Q158" s="5" t="s">
        <v>637</v>
      </c>
      <c r="R158" s="5" t="s">
        <v>42</v>
      </c>
      <c r="S158" s="5" t="s">
        <v>64</v>
      </c>
      <c r="T158" s="5" t="s">
        <v>638</v>
      </c>
      <c r="U158" s="7">
        <v>6.63</v>
      </c>
    </row>
    <row r="159" spans="1:21" x14ac:dyDescent="0.3">
      <c r="A159" s="8">
        <v>158</v>
      </c>
      <c r="B159" s="9" t="s">
        <v>639</v>
      </c>
      <c r="C159" s="10">
        <v>42064</v>
      </c>
      <c r="D159" s="6" t="str">
        <f t="shared" si="6"/>
        <v>Mar</v>
      </c>
      <c r="E159" s="12">
        <f t="shared" si="7"/>
        <v>2015</v>
      </c>
      <c r="F159" s="10">
        <v>42069</v>
      </c>
      <c r="G159" s="12">
        <f t="shared" si="8"/>
        <v>5</v>
      </c>
      <c r="H159" s="9" t="s">
        <v>19</v>
      </c>
      <c r="I159" s="9" t="s">
        <v>640</v>
      </c>
      <c r="J159" s="9" t="s">
        <v>641</v>
      </c>
      <c r="K159" s="9" t="s">
        <v>22</v>
      </c>
      <c r="L159" s="9" t="s">
        <v>23</v>
      </c>
      <c r="M159" s="9" t="s">
        <v>91</v>
      </c>
      <c r="N159" s="9" t="s">
        <v>92</v>
      </c>
      <c r="O159" s="9">
        <v>98115</v>
      </c>
      <c r="P159" s="9" t="s">
        <v>40</v>
      </c>
      <c r="Q159" s="9" t="s">
        <v>529</v>
      </c>
      <c r="R159" s="9" t="s">
        <v>28</v>
      </c>
      <c r="S159" s="9" t="s">
        <v>32</v>
      </c>
      <c r="T159" s="9" t="s">
        <v>530</v>
      </c>
      <c r="U159" s="11">
        <v>457.56799999999998</v>
      </c>
    </row>
    <row r="160" spans="1:21" x14ac:dyDescent="0.3">
      <c r="A160" s="4">
        <v>159</v>
      </c>
      <c r="B160" s="5" t="s">
        <v>642</v>
      </c>
      <c r="C160" s="6">
        <v>43059</v>
      </c>
      <c r="D160" s="6" t="str">
        <f t="shared" si="6"/>
        <v>Nov</v>
      </c>
      <c r="E160" s="12">
        <f t="shared" si="7"/>
        <v>2017</v>
      </c>
      <c r="F160" s="6">
        <v>43063</v>
      </c>
      <c r="G160" s="12">
        <f t="shared" si="8"/>
        <v>4</v>
      </c>
      <c r="H160" s="5" t="s">
        <v>46</v>
      </c>
      <c r="I160" s="5" t="s">
        <v>643</v>
      </c>
      <c r="J160" s="5" t="s">
        <v>644</v>
      </c>
      <c r="K160" s="5" t="s">
        <v>22</v>
      </c>
      <c r="L160" s="5" t="s">
        <v>23</v>
      </c>
      <c r="M160" s="5" t="s">
        <v>645</v>
      </c>
      <c r="N160" s="5" t="s">
        <v>646</v>
      </c>
      <c r="O160" s="5">
        <v>73034</v>
      </c>
      <c r="P160" s="5" t="s">
        <v>101</v>
      </c>
      <c r="Q160" s="5" t="s">
        <v>647</v>
      </c>
      <c r="R160" s="5" t="s">
        <v>42</v>
      </c>
      <c r="S160" s="5" t="s">
        <v>43</v>
      </c>
      <c r="T160" s="5" t="s">
        <v>648</v>
      </c>
      <c r="U160" s="7">
        <v>14.62</v>
      </c>
    </row>
    <row r="161" spans="1:21" x14ac:dyDescent="0.3">
      <c r="A161" s="8">
        <v>160</v>
      </c>
      <c r="B161" s="9" t="s">
        <v>642</v>
      </c>
      <c r="C161" s="10">
        <v>43059</v>
      </c>
      <c r="D161" s="6" t="str">
        <f t="shared" si="6"/>
        <v>Nov</v>
      </c>
      <c r="E161" s="12">
        <f t="shared" si="7"/>
        <v>2017</v>
      </c>
      <c r="F161" s="10">
        <v>43063</v>
      </c>
      <c r="G161" s="12">
        <f t="shared" si="8"/>
        <v>4</v>
      </c>
      <c r="H161" s="9" t="s">
        <v>46</v>
      </c>
      <c r="I161" s="9" t="s">
        <v>643</v>
      </c>
      <c r="J161" s="9" t="s">
        <v>644</v>
      </c>
      <c r="K161" s="9" t="s">
        <v>22</v>
      </c>
      <c r="L161" s="9" t="s">
        <v>23</v>
      </c>
      <c r="M161" s="9" t="s">
        <v>645</v>
      </c>
      <c r="N161" s="9" t="s">
        <v>646</v>
      </c>
      <c r="O161" s="9">
        <v>73034</v>
      </c>
      <c r="P161" s="9" t="s">
        <v>101</v>
      </c>
      <c r="Q161" s="9" t="s">
        <v>649</v>
      </c>
      <c r="R161" s="9" t="s">
        <v>67</v>
      </c>
      <c r="S161" s="9" t="s">
        <v>68</v>
      </c>
      <c r="T161" s="9" t="s">
        <v>650</v>
      </c>
      <c r="U161" s="11">
        <v>944.93</v>
      </c>
    </row>
    <row r="162" spans="1:21" x14ac:dyDescent="0.3">
      <c r="A162" s="4">
        <v>161</v>
      </c>
      <c r="B162" s="5" t="s">
        <v>651</v>
      </c>
      <c r="C162" s="6">
        <v>42866</v>
      </c>
      <c r="D162" s="6" t="str">
        <f t="shared" si="6"/>
        <v>May</v>
      </c>
      <c r="E162" s="12">
        <f t="shared" si="7"/>
        <v>2017</v>
      </c>
      <c r="F162" s="6">
        <v>42867</v>
      </c>
      <c r="G162" s="12">
        <f t="shared" si="8"/>
        <v>1</v>
      </c>
      <c r="H162" s="5" t="s">
        <v>184</v>
      </c>
      <c r="I162" s="5" t="s">
        <v>652</v>
      </c>
      <c r="J162" s="5" t="s">
        <v>653</v>
      </c>
      <c r="K162" s="5" t="s">
        <v>22</v>
      </c>
      <c r="L162" s="5" t="s">
        <v>23</v>
      </c>
      <c r="M162" s="5" t="s">
        <v>38</v>
      </c>
      <c r="N162" s="5" t="s">
        <v>39</v>
      </c>
      <c r="O162" s="5">
        <v>90045</v>
      </c>
      <c r="P162" s="5" t="s">
        <v>40</v>
      </c>
      <c r="Q162" s="5" t="s">
        <v>654</v>
      </c>
      <c r="R162" s="5" t="s">
        <v>42</v>
      </c>
      <c r="S162" s="5" t="s">
        <v>86</v>
      </c>
      <c r="T162" s="5" t="s">
        <v>655</v>
      </c>
      <c r="U162" s="7">
        <v>5.98</v>
      </c>
    </row>
    <row r="163" spans="1:21" x14ac:dyDescent="0.3">
      <c r="A163" s="8">
        <v>162</v>
      </c>
      <c r="B163" s="9" t="s">
        <v>656</v>
      </c>
      <c r="C163" s="10">
        <v>42732</v>
      </c>
      <c r="D163" s="6" t="str">
        <f t="shared" si="6"/>
        <v>Dec</v>
      </c>
      <c r="E163" s="12">
        <f t="shared" si="7"/>
        <v>2016</v>
      </c>
      <c r="F163" s="10">
        <v>42735</v>
      </c>
      <c r="G163" s="12">
        <f t="shared" si="8"/>
        <v>3</v>
      </c>
      <c r="H163" s="9" t="s">
        <v>19</v>
      </c>
      <c r="I163" s="9" t="s">
        <v>657</v>
      </c>
      <c r="J163" s="9" t="s">
        <v>658</v>
      </c>
      <c r="K163" s="9" t="s">
        <v>22</v>
      </c>
      <c r="L163" s="9" t="s">
        <v>23</v>
      </c>
      <c r="M163" s="9" t="s">
        <v>142</v>
      </c>
      <c r="N163" s="9" t="s">
        <v>143</v>
      </c>
      <c r="O163" s="9">
        <v>19134</v>
      </c>
      <c r="P163" s="9" t="s">
        <v>144</v>
      </c>
      <c r="Q163" s="9" t="s">
        <v>659</v>
      </c>
      <c r="R163" s="9" t="s">
        <v>67</v>
      </c>
      <c r="S163" s="9" t="s">
        <v>157</v>
      </c>
      <c r="T163" s="9" t="s">
        <v>660</v>
      </c>
      <c r="U163" s="11">
        <v>54.384</v>
      </c>
    </row>
    <row r="164" spans="1:21" x14ac:dyDescent="0.3">
      <c r="A164" s="4">
        <v>163</v>
      </c>
      <c r="B164" s="5" t="s">
        <v>661</v>
      </c>
      <c r="C164" s="6">
        <v>43055</v>
      </c>
      <c r="D164" s="6" t="str">
        <f t="shared" si="6"/>
        <v>Nov</v>
      </c>
      <c r="E164" s="12">
        <f t="shared" si="7"/>
        <v>2017</v>
      </c>
      <c r="F164" s="6">
        <v>43059</v>
      </c>
      <c r="G164" s="12">
        <f t="shared" si="8"/>
        <v>4</v>
      </c>
      <c r="H164" s="5" t="s">
        <v>46</v>
      </c>
      <c r="I164" s="5" t="s">
        <v>662</v>
      </c>
      <c r="J164" s="5" t="s">
        <v>663</v>
      </c>
      <c r="K164" s="5" t="s">
        <v>22</v>
      </c>
      <c r="L164" s="5" t="s">
        <v>23</v>
      </c>
      <c r="M164" s="5" t="s">
        <v>664</v>
      </c>
      <c r="N164" s="5" t="s">
        <v>665</v>
      </c>
      <c r="O164" s="5">
        <v>88220</v>
      </c>
      <c r="P164" s="5" t="s">
        <v>40</v>
      </c>
      <c r="Q164" s="5" t="s">
        <v>666</v>
      </c>
      <c r="R164" s="5" t="s">
        <v>42</v>
      </c>
      <c r="S164" s="5" t="s">
        <v>169</v>
      </c>
      <c r="T164" s="5" t="s">
        <v>667</v>
      </c>
      <c r="U164" s="7">
        <v>28.4</v>
      </c>
    </row>
    <row r="165" spans="1:21" x14ac:dyDescent="0.3">
      <c r="A165" s="8">
        <v>164</v>
      </c>
      <c r="B165" s="9" t="s">
        <v>668</v>
      </c>
      <c r="C165" s="10">
        <v>43046</v>
      </c>
      <c r="D165" s="6" t="str">
        <f t="shared" si="6"/>
        <v>Nov</v>
      </c>
      <c r="E165" s="12">
        <f t="shared" si="7"/>
        <v>2017</v>
      </c>
      <c r="F165" s="10">
        <v>43050</v>
      </c>
      <c r="G165" s="12">
        <f t="shared" si="8"/>
        <v>4</v>
      </c>
      <c r="H165" s="9" t="s">
        <v>46</v>
      </c>
      <c r="I165" s="9" t="s">
        <v>669</v>
      </c>
      <c r="J165" s="9" t="s">
        <v>670</v>
      </c>
      <c r="K165" s="9" t="s">
        <v>22</v>
      </c>
      <c r="L165" s="9" t="s">
        <v>23</v>
      </c>
      <c r="M165" s="9" t="s">
        <v>91</v>
      </c>
      <c r="N165" s="9" t="s">
        <v>92</v>
      </c>
      <c r="O165" s="9">
        <v>98115</v>
      </c>
      <c r="P165" s="9" t="s">
        <v>40</v>
      </c>
      <c r="Q165" s="9" t="s">
        <v>671</v>
      </c>
      <c r="R165" s="9" t="s">
        <v>42</v>
      </c>
      <c r="S165" s="9" t="s">
        <v>71</v>
      </c>
      <c r="T165" s="9" t="s">
        <v>672</v>
      </c>
      <c r="U165" s="11">
        <v>27.68</v>
      </c>
    </row>
    <row r="166" spans="1:21" x14ac:dyDescent="0.3">
      <c r="A166" s="4">
        <v>165</v>
      </c>
      <c r="B166" s="5" t="s">
        <v>673</v>
      </c>
      <c r="C166" s="6">
        <v>42255</v>
      </c>
      <c r="D166" s="6" t="str">
        <f t="shared" si="6"/>
        <v>Sep</v>
      </c>
      <c r="E166" s="12">
        <f t="shared" si="7"/>
        <v>2015</v>
      </c>
      <c r="F166" s="6">
        <v>42259</v>
      </c>
      <c r="G166" s="12">
        <f t="shared" si="8"/>
        <v>4</v>
      </c>
      <c r="H166" s="5" t="s">
        <v>46</v>
      </c>
      <c r="I166" s="5" t="s">
        <v>674</v>
      </c>
      <c r="J166" s="5" t="s">
        <v>675</v>
      </c>
      <c r="K166" s="5" t="s">
        <v>22</v>
      </c>
      <c r="L166" s="5" t="s">
        <v>23</v>
      </c>
      <c r="M166" s="5" t="s">
        <v>676</v>
      </c>
      <c r="N166" s="5" t="s">
        <v>100</v>
      </c>
      <c r="O166" s="5">
        <v>78207</v>
      </c>
      <c r="P166" s="5" t="s">
        <v>101</v>
      </c>
      <c r="Q166" s="5" t="s">
        <v>677</v>
      </c>
      <c r="R166" s="5" t="s">
        <v>42</v>
      </c>
      <c r="S166" s="5" t="s">
        <v>64</v>
      </c>
      <c r="T166" s="5" t="s">
        <v>678</v>
      </c>
      <c r="U166" s="7">
        <v>9.9359999999999999</v>
      </c>
    </row>
    <row r="167" spans="1:21" x14ac:dyDescent="0.3">
      <c r="A167" s="8">
        <v>166</v>
      </c>
      <c r="B167" s="9" t="s">
        <v>673</v>
      </c>
      <c r="C167" s="10">
        <v>42255</v>
      </c>
      <c r="D167" s="6" t="str">
        <f t="shared" si="6"/>
        <v>Sep</v>
      </c>
      <c r="E167" s="12">
        <f t="shared" si="7"/>
        <v>2015</v>
      </c>
      <c r="F167" s="10">
        <v>42259</v>
      </c>
      <c r="G167" s="12">
        <f t="shared" si="8"/>
        <v>4</v>
      </c>
      <c r="H167" s="9" t="s">
        <v>46</v>
      </c>
      <c r="I167" s="9" t="s">
        <v>674</v>
      </c>
      <c r="J167" s="9" t="s">
        <v>675</v>
      </c>
      <c r="K167" s="9" t="s">
        <v>22</v>
      </c>
      <c r="L167" s="9" t="s">
        <v>23</v>
      </c>
      <c r="M167" s="9" t="s">
        <v>676</v>
      </c>
      <c r="N167" s="9" t="s">
        <v>100</v>
      </c>
      <c r="O167" s="9">
        <v>78207</v>
      </c>
      <c r="P167" s="9" t="s">
        <v>101</v>
      </c>
      <c r="Q167" s="9" t="s">
        <v>679</v>
      </c>
      <c r="R167" s="9" t="s">
        <v>67</v>
      </c>
      <c r="S167" s="9" t="s">
        <v>680</v>
      </c>
      <c r="T167" s="9" t="s">
        <v>681</v>
      </c>
      <c r="U167" s="11">
        <v>8159.9520000000002</v>
      </c>
    </row>
    <row r="168" spans="1:21" x14ac:dyDescent="0.3">
      <c r="A168" s="4">
        <v>167</v>
      </c>
      <c r="B168" s="5" t="s">
        <v>673</v>
      </c>
      <c r="C168" s="6">
        <v>42255</v>
      </c>
      <c r="D168" s="6" t="str">
        <f t="shared" si="6"/>
        <v>Sep</v>
      </c>
      <c r="E168" s="12">
        <f t="shared" si="7"/>
        <v>2015</v>
      </c>
      <c r="F168" s="6">
        <v>42259</v>
      </c>
      <c r="G168" s="12">
        <f t="shared" si="8"/>
        <v>4</v>
      </c>
      <c r="H168" s="5" t="s">
        <v>46</v>
      </c>
      <c r="I168" s="5" t="s">
        <v>674</v>
      </c>
      <c r="J168" s="5" t="s">
        <v>675</v>
      </c>
      <c r="K168" s="5" t="s">
        <v>22</v>
      </c>
      <c r="L168" s="5" t="s">
        <v>23</v>
      </c>
      <c r="M168" s="5" t="s">
        <v>676</v>
      </c>
      <c r="N168" s="5" t="s">
        <v>100</v>
      </c>
      <c r="O168" s="5">
        <v>78207</v>
      </c>
      <c r="P168" s="5" t="s">
        <v>101</v>
      </c>
      <c r="Q168" s="5" t="s">
        <v>682</v>
      </c>
      <c r="R168" s="5" t="s">
        <v>42</v>
      </c>
      <c r="S168" s="5" t="s">
        <v>55</v>
      </c>
      <c r="T168" s="5" t="s">
        <v>683</v>
      </c>
      <c r="U168" s="7">
        <v>275.928</v>
      </c>
    </row>
    <row r="169" spans="1:21" x14ac:dyDescent="0.3">
      <c r="A169" s="8">
        <v>168</v>
      </c>
      <c r="B169" s="9" t="s">
        <v>673</v>
      </c>
      <c r="C169" s="10">
        <v>42255</v>
      </c>
      <c r="D169" s="6" t="str">
        <f t="shared" si="6"/>
        <v>Sep</v>
      </c>
      <c r="E169" s="12">
        <f t="shared" si="7"/>
        <v>2015</v>
      </c>
      <c r="F169" s="10">
        <v>42259</v>
      </c>
      <c r="G169" s="12">
        <f t="shared" si="8"/>
        <v>4</v>
      </c>
      <c r="H169" s="9" t="s">
        <v>46</v>
      </c>
      <c r="I169" s="9" t="s">
        <v>674</v>
      </c>
      <c r="J169" s="9" t="s">
        <v>675</v>
      </c>
      <c r="K169" s="9" t="s">
        <v>22</v>
      </c>
      <c r="L169" s="9" t="s">
        <v>23</v>
      </c>
      <c r="M169" s="9" t="s">
        <v>676</v>
      </c>
      <c r="N169" s="9" t="s">
        <v>100</v>
      </c>
      <c r="O169" s="9">
        <v>78207</v>
      </c>
      <c r="P169" s="9" t="s">
        <v>101</v>
      </c>
      <c r="Q169" s="9" t="s">
        <v>684</v>
      </c>
      <c r="R169" s="9" t="s">
        <v>28</v>
      </c>
      <c r="S169" s="9" t="s">
        <v>32</v>
      </c>
      <c r="T169" s="9" t="s">
        <v>685</v>
      </c>
      <c r="U169" s="11">
        <v>1740.06</v>
      </c>
    </row>
    <row r="170" spans="1:21" x14ac:dyDescent="0.3">
      <c r="A170" s="4">
        <v>169</v>
      </c>
      <c r="B170" s="5" t="s">
        <v>673</v>
      </c>
      <c r="C170" s="6">
        <v>42255</v>
      </c>
      <c r="D170" s="6" t="str">
        <f t="shared" si="6"/>
        <v>Sep</v>
      </c>
      <c r="E170" s="12">
        <f t="shared" si="7"/>
        <v>2015</v>
      </c>
      <c r="F170" s="6">
        <v>42259</v>
      </c>
      <c r="G170" s="12">
        <f t="shared" si="8"/>
        <v>4</v>
      </c>
      <c r="H170" s="5" t="s">
        <v>46</v>
      </c>
      <c r="I170" s="5" t="s">
        <v>674</v>
      </c>
      <c r="J170" s="5" t="s">
        <v>675</v>
      </c>
      <c r="K170" s="5" t="s">
        <v>22</v>
      </c>
      <c r="L170" s="5" t="s">
        <v>23</v>
      </c>
      <c r="M170" s="5" t="s">
        <v>676</v>
      </c>
      <c r="N170" s="5" t="s">
        <v>100</v>
      </c>
      <c r="O170" s="5">
        <v>78207</v>
      </c>
      <c r="P170" s="5" t="s">
        <v>101</v>
      </c>
      <c r="Q170" s="5" t="s">
        <v>686</v>
      </c>
      <c r="R170" s="5" t="s">
        <v>42</v>
      </c>
      <c r="S170" s="5" t="s">
        <v>64</v>
      </c>
      <c r="T170" s="5" t="s">
        <v>687</v>
      </c>
      <c r="U170" s="7">
        <v>32.064</v>
      </c>
    </row>
    <row r="171" spans="1:21" x14ac:dyDescent="0.3">
      <c r="A171" s="8">
        <v>170</v>
      </c>
      <c r="B171" s="9" t="s">
        <v>673</v>
      </c>
      <c r="C171" s="10">
        <v>42255</v>
      </c>
      <c r="D171" s="6" t="str">
        <f t="shared" si="6"/>
        <v>Sep</v>
      </c>
      <c r="E171" s="12">
        <f t="shared" si="7"/>
        <v>2015</v>
      </c>
      <c r="F171" s="10">
        <v>42259</v>
      </c>
      <c r="G171" s="12">
        <f t="shared" si="8"/>
        <v>4</v>
      </c>
      <c r="H171" s="9" t="s">
        <v>46</v>
      </c>
      <c r="I171" s="9" t="s">
        <v>674</v>
      </c>
      <c r="J171" s="9" t="s">
        <v>675</v>
      </c>
      <c r="K171" s="9" t="s">
        <v>22</v>
      </c>
      <c r="L171" s="9" t="s">
        <v>23</v>
      </c>
      <c r="M171" s="9" t="s">
        <v>676</v>
      </c>
      <c r="N171" s="9" t="s">
        <v>100</v>
      </c>
      <c r="O171" s="9">
        <v>78207</v>
      </c>
      <c r="P171" s="9" t="s">
        <v>101</v>
      </c>
      <c r="Q171" s="9" t="s">
        <v>688</v>
      </c>
      <c r="R171" s="9" t="s">
        <v>42</v>
      </c>
      <c r="S171" s="9" t="s">
        <v>74</v>
      </c>
      <c r="T171" s="9" t="s">
        <v>689</v>
      </c>
      <c r="U171" s="11">
        <v>177.98</v>
      </c>
    </row>
    <row r="172" spans="1:21" x14ac:dyDescent="0.3">
      <c r="A172" s="4">
        <v>171</v>
      </c>
      <c r="B172" s="5" t="s">
        <v>673</v>
      </c>
      <c r="C172" s="6">
        <v>42255</v>
      </c>
      <c r="D172" s="6" t="str">
        <f t="shared" si="6"/>
        <v>Sep</v>
      </c>
      <c r="E172" s="12">
        <f t="shared" si="7"/>
        <v>2015</v>
      </c>
      <c r="F172" s="6">
        <v>42259</v>
      </c>
      <c r="G172" s="12">
        <f t="shared" si="8"/>
        <v>4</v>
      </c>
      <c r="H172" s="5" t="s">
        <v>46</v>
      </c>
      <c r="I172" s="5" t="s">
        <v>674</v>
      </c>
      <c r="J172" s="5" t="s">
        <v>675</v>
      </c>
      <c r="K172" s="5" t="s">
        <v>22</v>
      </c>
      <c r="L172" s="5" t="s">
        <v>23</v>
      </c>
      <c r="M172" s="5" t="s">
        <v>676</v>
      </c>
      <c r="N172" s="5" t="s">
        <v>100</v>
      </c>
      <c r="O172" s="5">
        <v>78207</v>
      </c>
      <c r="P172" s="5" t="s">
        <v>101</v>
      </c>
      <c r="Q172" s="5" t="s">
        <v>690</v>
      </c>
      <c r="R172" s="5" t="s">
        <v>67</v>
      </c>
      <c r="S172" s="5" t="s">
        <v>68</v>
      </c>
      <c r="T172" s="5" t="s">
        <v>691</v>
      </c>
      <c r="U172" s="7">
        <v>143.976</v>
      </c>
    </row>
    <row r="173" spans="1:21" x14ac:dyDescent="0.3">
      <c r="A173" s="8">
        <v>172</v>
      </c>
      <c r="B173" s="9" t="s">
        <v>692</v>
      </c>
      <c r="C173" s="10">
        <v>42221</v>
      </c>
      <c r="D173" s="6" t="str">
        <f t="shared" si="6"/>
        <v>Aug</v>
      </c>
      <c r="E173" s="12">
        <f t="shared" si="7"/>
        <v>2015</v>
      </c>
      <c r="F173" s="10">
        <v>42225</v>
      </c>
      <c r="G173" s="12">
        <f t="shared" si="8"/>
        <v>4</v>
      </c>
      <c r="H173" s="9" t="s">
        <v>46</v>
      </c>
      <c r="I173" s="9" t="s">
        <v>693</v>
      </c>
      <c r="J173" s="9" t="s">
        <v>694</v>
      </c>
      <c r="K173" s="9" t="s">
        <v>22</v>
      </c>
      <c r="L173" s="9" t="s">
        <v>23</v>
      </c>
      <c r="M173" s="9" t="s">
        <v>38</v>
      </c>
      <c r="N173" s="9" t="s">
        <v>39</v>
      </c>
      <c r="O173" s="9">
        <v>90004</v>
      </c>
      <c r="P173" s="9" t="s">
        <v>40</v>
      </c>
      <c r="Q173" s="9" t="s">
        <v>695</v>
      </c>
      <c r="R173" s="9" t="s">
        <v>42</v>
      </c>
      <c r="S173" s="9" t="s">
        <v>86</v>
      </c>
      <c r="T173" s="9" t="s">
        <v>696</v>
      </c>
      <c r="U173" s="11">
        <v>20.94</v>
      </c>
    </row>
    <row r="174" spans="1:21" x14ac:dyDescent="0.3">
      <c r="A174" s="4">
        <v>173</v>
      </c>
      <c r="B174" s="5" t="s">
        <v>692</v>
      </c>
      <c r="C174" s="6">
        <v>42221</v>
      </c>
      <c r="D174" s="6" t="str">
        <f t="shared" si="6"/>
        <v>Aug</v>
      </c>
      <c r="E174" s="12">
        <f t="shared" si="7"/>
        <v>2015</v>
      </c>
      <c r="F174" s="6">
        <v>42225</v>
      </c>
      <c r="G174" s="12">
        <f t="shared" si="8"/>
        <v>4</v>
      </c>
      <c r="H174" s="5" t="s">
        <v>46</v>
      </c>
      <c r="I174" s="5" t="s">
        <v>693</v>
      </c>
      <c r="J174" s="5" t="s">
        <v>694</v>
      </c>
      <c r="K174" s="5" t="s">
        <v>22</v>
      </c>
      <c r="L174" s="5" t="s">
        <v>23</v>
      </c>
      <c r="M174" s="5" t="s">
        <v>38</v>
      </c>
      <c r="N174" s="5" t="s">
        <v>39</v>
      </c>
      <c r="O174" s="5">
        <v>90004</v>
      </c>
      <c r="P174" s="5" t="s">
        <v>40</v>
      </c>
      <c r="Q174" s="5" t="s">
        <v>697</v>
      </c>
      <c r="R174" s="5" t="s">
        <v>42</v>
      </c>
      <c r="S174" s="5" t="s">
        <v>86</v>
      </c>
      <c r="T174" s="5" t="s">
        <v>698</v>
      </c>
      <c r="U174" s="7">
        <v>110.96</v>
      </c>
    </row>
    <row r="175" spans="1:21" x14ac:dyDescent="0.3">
      <c r="A175" s="8">
        <v>174</v>
      </c>
      <c r="B175" s="9" t="s">
        <v>692</v>
      </c>
      <c r="C175" s="10">
        <v>42221</v>
      </c>
      <c r="D175" s="6" t="str">
        <f t="shared" si="6"/>
        <v>Aug</v>
      </c>
      <c r="E175" s="12">
        <f t="shared" si="7"/>
        <v>2015</v>
      </c>
      <c r="F175" s="10">
        <v>42225</v>
      </c>
      <c r="G175" s="12">
        <f t="shared" si="8"/>
        <v>4</v>
      </c>
      <c r="H175" s="9" t="s">
        <v>46</v>
      </c>
      <c r="I175" s="9" t="s">
        <v>693</v>
      </c>
      <c r="J175" s="9" t="s">
        <v>694</v>
      </c>
      <c r="K175" s="9" t="s">
        <v>22</v>
      </c>
      <c r="L175" s="9" t="s">
        <v>23</v>
      </c>
      <c r="M175" s="9" t="s">
        <v>38</v>
      </c>
      <c r="N175" s="9" t="s">
        <v>39</v>
      </c>
      <c r="O175" s="9">
        <v>90004</v>
      </c>
      <c r="P175" s="9" t="s">
        <v>40</v>
      </c>
      <c r="Q175" s="9" t="s">
        <v>699</v>
      </c>
      <c r="R175" s="9" t="s">
        <v>28</v>
      </c>
      <c r="S175" s="9" t="s">
        <v>32</v>
      </c>
      <c r="T175" s="9" t="s">
        <v>700</v>
      </c>
      <c r="U175" s="11">
        <v>340.14400000000001</v>
      </c>
    </row>
    <row r="176" spans="1:21" x14ac:dyDescent="0.3">
      <c r="A176" s="4">
        <v>175</v>
      </c>
      <c r="B176" s="5" t="s">
        <v>701</v>
      </c>
      <c r="C176" s="6">
        <v>42261</v>
      </c>
      <c r="D176" s="6" t="str">
        <f t="shared" si="6"/>
        <v>Sep</v>
      </c>
      <c r="E176" s="12">
        <f t="shared" si="7"/>
        <v>2015</v>
      </c>
      <c r="F176" s="6">
        <v>42266</v>
      </c>
      <c r="G176" s="12">
        <f t="shared" si="8"/>
        <v>5</v>
      </c>
      <c r="H176" s="5" t="s">
        <v>46</v>
      </c>
      <c r="I176" s="5" t="s">
        <v>702</v>
      </c>
      <c r="J176" s="5" t="s">
        <v>703</v>
      </c>
      <c r="K176" s="5" t="s">
        <v>37</v>
      </c>
      <c r="L176" s="5" t="s">
        <v>23</v>
      </c>
      <c r="M176" s="5" t="s">
        <v>299</v>
      </c>
      <c r="N176" s="5" t="s">
        <v>207</v>
      </c>
      <c r="O176" s="5">
        <v>60623</v>
      </c>
      <c r="P176" s="5" t="s">
        <v>101</v>
      </c>
      <c r="Q176" s="5" t="s">
        <v>704</v>
      </c>
      <c r="R176" s="5" t="s">
        <v>42</v>
      </c>
      <c r="S176" s="5" t="s">
        <v>74</v>
      </c>
      <c r="T176" s="5" t="s">
        <v>705</v>
      </c>
      <c r="U176" s="7">
        <v>52.448</v>
      </c>
    </row>
    <row r="177" spans="1:21" x14ac:dyDescent="0.3">
      <c r="A177" s="8">
        <v>176</v>
      </c>
      <c r="B177" s="9" t="s">
        <v>701</v>
      </c>
      <c r="C177" s="10">
        <v>42261</v>
      </c>
      <c r="D177" s="6" t="str">
        <f t="shared" si="6"/>
        <v>Sep</v>
      </c>
      <c r="E177" s="12">
        <f t="shared" si="7"/>
        <v>2015</v>
      </c>
      <c r="F177" s="10">
        <v>42266</v>
      </c>
      <c r="G177" s="12">
        <f t="shared" si="8"/>
        <v>5</v>
      </c>
      <c r="H177" s="9" t="s">
        <v>46</v>
      </c>
      <c r="I177" s="9" t="s">
        <v>702</v>
      </c>
      <c r="J177" s="9" t="s">
        <v>703</v>
      </c>
      <c r="K177" s="9" t="s">
        <v>37</v>
      </c>
      <c r="L177" s="9" t="s">
        <v>23</v>
      </c>
      <c r="M177" s="9" t="s">
        <v>299</v>
      </c>
      <c r="N177" s="9" t="s">
        <v>207</v>
      </c>
      <c r="O177" s="9">
        <v>60623</v>
      </c>
      <c r="P177" s="9" t="s">
        <v>101</v>
      </c>
      <c r="Q177" s="9" t="s">
        <v>706</v>
      </c>
      <c r="R177" s="9" t="s">
        <v>42</v>
      </c>
      <c r="S177" s="9" t="s">
        <v>43</v>
      </c>
      <c r="T177" s="9" t="s">
        <v>707</v>
      </c>
      <c r="U177" s="11">
        <v>20.16</v>
      </c>
    </row>
    <row r="178" spans="1:21" x14ac:dyDescent="0.3">
      <c r="A178" s="4">
        <v>177</v>
      </c>
      <c r="B178" s="5" t="s">
        <v>708</v>
      </c>
      <c r="C178" s="6">
        <v>43211</v>
      </c>
      <c r="D178" s="6" t="str">
        <f t="shared" si="6"/>
        <v>Apr</v>
      </c>
      <c r="E178" s="12">
        <f t="shared" si="7"/>
        <v>2018</v>
      </c>
      <c r="F178" s="6">
        <v>43215</v>
      </c>
      <c r="G178" s="12">
        <f t="shared" si="8"/>
        <v>4</v>
      </c>
      <c r="H178" s="5" t="s">
        <v>19</v>
      </c>
      <c r="I178" s="5" t="s">
        <v>709</v>
      </c>
      <c r="J178" s="5" t="s">
        <v>710</v>
      </c>
      <c r="K178" s="5" t="s">
        <v>22</v>
      </c>
      <c r="L178" s="5" t="s">
        <v>23</v>
      </c>
      <c r="M178" s="5" t="s">
        <v>180</v>
      </c>
      <c r="N178" s="5" t="s">
        <v>100</v>
      </c>
      <c r="O178" s="5">
        <v>77036</v>
      </c>
      <c r="P178" s="5" t="s">
        <v>101</v>
      </c>
      <c r="Q178" s="5" t="s">
        <v>711</v>
      </c>
      <c r="R178" s="5" t="s">
        <v>42</v>
      </c>
      <c r="S178" s="5" t="s">
        <v>74</v>
      </c>
      <c r="T178" s="5" t="s">
        <v>712</v>
      </c>
      <c r="U178" s="7">
        <v>97.263999999999996</v>
      </c>
    </row>
    <row r="179" spans="1:21" x14ac:dyDescent="0.3">
      <c r="A179" s="8">
        <v>178</v>
      </c>
      <c r="B179" s="9" t="s">
        <v>713</v>
      </c>
      <c r="C179" s="10">
        <v>42695</v>
      </c>
      <c r="D179" s="6" t="str">
        <f t="shared" si="6"/>
        <v>Nov</v>
      </c>
      <c r="E179" s="12">
        <f t="shared" si="7"/>
        <v>2016</v>
      </c>
      <c r="F179" s="10">
        <v>42697</v>
      </c>
      <c r="G179" s="12">
        <f t="shared" si="8"/>
        <v>2</v>
      </c>
      <c r="H179" s="9" t="s">
        <v>19</v>
      </c>
      <c r="I179" s="9" t="s">
        <v>328</v>
      </c>
      <c r="J179" s="9" t="s">
        <v>329</v>
      </c>
      <c r="K179" s="9" t="s">
        <v>22</v>
      </c>
      <c r="L179" s="9" t="s">
        <v>23</v>
      </c>
      <c r="M179" s="9" t="s">
        <v>603</v>
      </c>
      <c r="N179" s="9" t="s">
        <v>494</v>
      </c>
      <c r="O179" s="9">
        <v>43055</v>
      </c>
      <c r="P179" s="9" t="s">
        <v>144</v>
      </c>
      <c r="Q179" s="9" t="s">
        <v>714</v>
      </c>
      <c r="R179" s="9" t="s">
        <v>28</v>
      </c>
      <c r="S179" s="9" t="s">
        <v>32</v>
      </c>
      <c r="T179" s="9" t="s">
        <v>715</v>
      </c>
      <c r="U179" s="11">
        <v>396.80200000000002</v>
      </c>
    </row>
    <row r="180" spans="1:21" x14ac:dyDescent="0.3">
      <c r="A180" s="4">
        <v>179</v>
      </c>
      <c r="B180" s="5" t="s">
        <v>713</v>
      </c>
      <c r="C180" s="6">
        <v>42695</v>
      </c>
      <c r="D180" s="6" t="str">
        <f t="shared" si="6"/>
        <v>Nov</v>
      </c>
      <c r="E180" s="12">
        <f t="shared" si="7"/>
        <v>2016</v>
      </c>
      <c r="F180" s="6">
        <v>42697</v>
      </c>
      <c r="G180" s="12">
        <f t="shared" si="8"/>
        <v>2</v>
      </c>
      <c r="H180" s="5" t="s">
        <v>19</v>
      </c>
      <c r="I180" s="5" t="s">
        <v>328</v>
      </c>
      <c r="J180" s="5" t="s">
        <v>329</v>
      </c>
      <c r="K180" s="5" t="s">
        <v>22</v>
      </c>
      <c r="L180" s="5" t="s">
        <v>23</v>
      </c>
      <c r="M180" s="5" t="s">
        <v>603</v>
      </c>
      <c r="N180" s="5" t="s">
        <v>494</v>
      </c>
      <c r="O180" s="5">
        <v>43055</v>
      </c>
      <c r="P180" s="5" t="s">
        <v>144</v>
      </c>
      <c r="Q180" s="5" t="s">
        <v>716</v>
      </c>
      <c r="R180" s="5" t="s">
        <v>42</v>
      </c>
      <c r="S180" s="5" t="s">
        <v>575</v>
      </c>
      <c r="T180" s="5" t="s">
        <v>717</v>
      </c>
      <c r="U180" s="7">
        <v>15.88</v>
      </c>
    </row>
    <row r="181" spans="1:21" x14ac:dyDescent="0.3">
      <c r="A181" s="8">
        <v>180</v>
      </c>
      <c r="B181" s="9" t="s">
        <v>718</v>
      </c>
      <c r="C181" s="10">
        <v>42719</v>
      </c>
      <c r="D181" s="6" t="str">
        <f t="shared" si="6"/>
        <v>Dec</v>
      </c>
      <c r="E181" s="12">
        <f t="shared" si="7"/>
        <v>2016</v>
      </c>
      <c r="F181" s="10">
        <v>42723</v>
      </c>
      <c r="G181" s="12">
        <f t="shared" si="8"/>
        <v>4</v>
      </c>
      <c r="H181" s="9" t="s">
        <v>46</v>
      </c>
      <c r="I181" s="9" t="s">
        <v>719</v>
      </c>
      <c r="J181" s="9" t="s">
        <v>720</v>
      </c>
      <c r="K181" s="9" t="s">
        <v>98</v>
      </c>
      <c r="L181" s="9" t="s">
        <v>23</v>
      </c>
      <c r="M181" s="9" t="s">
        <v>262</v>
      </c>
      <c r="N181" s="9" t="s">
        <v>263</v>
      </c>
      <c r="O181" s="9">
        <v>10009</v>
      </c>
      <c r="P181" s="9" t="s">
        <v>144</v>
      </c>
      <c r="Q181" s="9" t="s">
        <v>721</v>
      </c>
      <c r="R181" s="9" t="s">
        <v>42</v>
      </c>
      <c r="S181" s="9" t="s">
        <v>64</v>
      </c>
      <c r="T181" s="9" t="s">
        <v>722</v>
      </c>
      <c r="U181" s="11">
        <v>3.28</v>
      </c>
    </row>
    <row r="182" spans="1:21" x14ac:dyDescent="0.3">
      <c r="A182" s="4">
        <v>181</v>
      </c>
      <c r="B182" s="5" t="s">
        <v>723</v>
      </c>
      <c r="C182" s="6">
        <v>42343</v>
      </c>
      <c r="D182" s="6" t="str">
        <f t="shared" si="6"/>
        <v>Dec</v>
      </c>
      <c r="E182" s="12">
        <f t="shared" si="7"/>
        <v>2015</v>
      </c>
      <c r="F182" s="6">
        <v>42347</v>
      </c>
      <c r="G182" s="12">
        <f t="shared" si="8"/>
        <v>4</v>
      </c>
      <c r="H182" s="5" t="s">
        <v>19</v>
      </c>
      <c r="I182" s="5" t="s">
        <v>724</v>
      </c>
      <c r="J182" s="5" t="s">
        <v>725</v>
      </c>
      <c r="K182" s="5" t="s">
        <v>37</v>
      </c>
      <c r="L182" s="5" t="s">
        <v>23</v>
      </c>
      <c r="M182" s="5" t="s">
        <v>353</v>
      </c>
      <c r="N182" s="5" t="s">
        <v>207</v>
      </c>
      <c r="O182" s="5">
        <v>62521</v>
      </c>
      <c r="P182" s="5" t="s">
        <v>101</v>
      </c>
      <c r="Q182" s="5" t="s">
        <v>726</v>
      </c>
      <c r="R182" s="5" t="s">
        <v>42</v>
      </c>
      <c r="S182" s="5" t="s">
        <v>55</v>
      </c>
      <c r="T182" s="5" t="s">
        <v>727</v>
      </c>
      <c r="U182" s="7">
        <v>24.815999999999999</v>
      </c>
    </row>
    <row r="183" spans="1:21" x14ac:dyDescent="0.3">
      <c r="A183" s="8">
        <v>182</v>
      </c>
      <c r="B183" s="9" t="s">
        <v>723</v>
      </c>
      <c r="C183" s="10">
        <v>42343</v>
      </c>
      <c r="D183" s="6" t="str">
        <f t="shared" si="6"/>
        <v>Dec</v>
      </c>
      <c r="E183" s="12">
        <f t="shared" si="7"/>
        <v>2015</v>
      </c>
      <c r="F183" s="10">
        <v>42347</v>
      </c>
      <c r="G183" s="12">
        <f t="shared" si="8"/>
        <v>4</v>
      </c>
      <c r="H183" s="9" t="s">
        <v>19</v>
      </c>
      <c r="I183" s="9" t="s">
        <v>724</v>
      </c>
      <c r="J183" s="9" t="s">
        <v>725</v>
      </c>
      <c r="K183" s="9" t="s">
        <v>37</v>
      </c>
      <c r="L183" s="9" t="s">
        <v>23</v>
      </c>
      <c r="M183" s="9" t="s">
        <v>353</v>
      </c>
      <c r="N183" s="9" t="s">
        <v>207</v>
      </c>
      <c r="O183" s="9">
        <v>62521</v>
      </c>
      <c r="P183" s="9" t="s">
        <v>101</v>
      </c>
      <c r="Q183" s="9" t="s">
        <v>728</v>
      </c>
      <c r="R183" s="9" t="s">
        <v>67</v>
      </c>
      <c r="S183" s="9" t="s">
        <v>157</v>
      </c>
      <c r="T183" s="9" t="s">
        <v>729</v>
      </c>
      <c r="U183" s="11">
        <v>408.74400000000003</v>
      </c>
    </row>
    <row r="184" spans="1:21" x14ac:dyDescent="0.3">
      <c r="A184" s="4">
        <v>183</v>
      </c>
      <c r="B184" s="5" t="s">
        <v>730</v>
      </c>
      <c r="C184" s="6">
        <v>42327</v>
      </c>
      <c r="D184" s="6" t="str">
        <f t="shared" si="6"/>
        <v>Nov</v>
      </c>
      <c r="E184" s="12">
        <f t="shared" si="7"/>
        <v>2015</v>
      </c>
      <c r="F184" s="6">
        <v>42332</v>
      </c>
      <c r="G184" s="12">
        <f t="shared" si="8"/>
        <v>5</v>
      </c>
      <c r="H184" s="5" t="s">
        <v>19</v>
      </c>
      <c r="I184" s="5" t="s">
        <v>731</v>
      </c>
      <c r="J184" s="5" t="s">
        <v>732</v>
      </c>
      <c r="K184" s="5" t="s">
        <v>98</v>
      </c>
      <c r="L184" s="5" t="s">
        <v>23</v>
      </c>
      <c r="M184" s="5" t="s">
        <v>733</v>
      </c>
      <c r="N184" s="5" t="s">
        <v>734</v>
      </c>
      <c r="O184" s="5">
        <v>71203</v>
      </c>
      <c r="P184" s="5" t="s">
        <v>26</v>
      </c>
      <c r="Q184" s="5" t="s">
        <v>735</v>
      </c>
      <c r="R184" s="5" t="s">
        <v>67</v>
      </c>
      <c r="S184" s="5" t="s">
        <v>68</v>
      </c>
      <c r="T184" s="5" t="s">
        <v>736</v>
      </c>
      <c r="U184" s="7">
        <v>503.96</v>
      </c>
    </row>
    <row r="185" spans="1:21" x14ac:dyDescent="0.3">
      <c r="A185" s="8">
        <v>184</v>
      </c>
      <c r="B185" s="9" t="s">
        <v>730</v>
      </c>
      <c r="C185" s="10">
        <v>42327</v>
      </c>
      <c r="D185" s="6" t="str">
        <f t="shared" si="6"/>
        <v>Nov</v>
      </c>
      <c r="E185" s="12">
        <f t="shared" si="7"/>
        <v>2015</v>
      </c>
      <c r="F185" s="10">
        <v>42332</v>
      </c>
      <c r="G185" s="12">
        <f t="shared" si="8"/>
        <v>5</v>
      </c>
      <c r="H185" s="9" t="s">
        <v>19</v>
      </c>
      <c r="I185" s="9" t="s">
        <v>731</v>
      </c>
      <c r="J185" s="9" t="s">
        <v>732</v>
      </c>
      <c r="K185" s="9" t="s">
        <v>98</v>
      </c>
      <c r="L185" s="9" t="s">
        <v>23</v>
      </c>
      <c r="M185" s="9" t="s">
        <v>733</v>
      </c>
      <c r="N185" s="9" t="s">
        <v>734</v>
      </c>
      <c r="O185" s="9">
        <v>71203</v>
      </c>
      <c r="P185" s="9" t="s">
        <v>26</v>
      </c>
      <c r="Q185" s="9" t="s">
        <v>737</v>
      </c>
      <c r="R185" s="9" t="s">
        <v>67</v>
      </c>
      <c r="S185" s="9" t="s">
        <v>68</v>
      </c>
      <c r="T185" s="9" t="s">
        <v>738</v>
      </c>
      <c r="U185" s="11">
        <v>149.94999999999999</v>
      </c>
    </row>
    <row r="186" spans="1:21" x14ac:dyDescent="0.3">
      <c r="A186" s="4">
        <v>185</v>
      </c>
      <c r="B186" s="5" t="s">
        <v>730</v>
      </c>
      <c r="C186" s="6">
        <v>42327</v>
      </c>
      <c r="D186" s="6" t="str">
        <f t="shared" si="6"/>
        <v>Nov</v>
      </c>
      <c r="E186" s="12">
        <f t="shared" si="7"/>
        <v>2015</v>
      </c>
      <c r="F186" s="6">
        <v>42332</v>
      </c>
      <c r="G186" s="12">
        <f t="shared" si="8"/>
        <v>5</v>
      </c>
      <c r="H186" s="5" t="s">
        <v>19</v>
      </c>
      <c r="I186" s="5" t="s">
        <v>731</v>
      </c>
      <c r="J186" s="5" t="s">
        <v>732</v>
      </c>
      <c r="K186" s="5" t="s">
        <v>98</v>
      </c>
      <c r="L186" s="5" t="s">
        <v>23</v>
      </c>
      <c r="M186" s="5" t="s">
        <v>733</v>
      </c>
      <c r="N186" s="5" t="s">
        <v>734</v>
      </c>
      <c r="O186" s="5">
        <v>71203</v>
      </c>
      <c r="P186" s="5" t="s">
        <v>26</v>
      </c>
      <c r="Q186" s="5" t="s">
        <v>739</v>
      </c>
      <c r="R186" s="5" t="s">
        <v>67</v>
      </c>
      <c r="S186" s="5" t="s">
        <v>157</v>
      </c>
      <c r="T186" s="5" t="s">
        <v>740</v>
      </c>
      <c r="U186" s="7">
        <v>29</v>
      </c>
    </row>
    <row r="187" spans="1:21" x14ac:dyDescent="0.3">
      <c r="A187" s="8">
        <v>186</v>
      </c>
      <c r="B187" s="9" t="s">
        <v>741</v>
      </c>
      <c r="C187" s="10">
        <v>43067</v>
      </c>
      <c r="D187" s="6" t="str">
        <f t="shared" si="6"/>
        <v>Nov</v>
      </c>
      <c r="E187" s="12">
        <f t="shared" si="7"/>
        <v>2017</v>
      </c>
      <c r="F187" s="10">
        <v>43071</v>
      </c>
      <c r="G187" s="12">
        <f t="shared" si="8"/>
        <v>4</v>
      </c>
      <c r="H187" s="9" t="s">
        <v>46</v>
      </c>
      <c r="I187" s="9" t="s">
        <v>742</v>
      </c>
      <c r="J187" s="9" t="s">
        <v>743</v>
      </c>
      <c r="K187" s="9" t="s">
        <v>22</v>
      </c>
      <c r="L187" s="9" t="s">
        <v>23</v>
      </c>
      <c r="M187" s="9" t="s">
        <v>744</v>
      </c>
      <c r="N187" s="9" t="s">
        <v>745</v>
      </c>
      <c r="O187" s="9">
        <v>6824</v>
      </c>
      <c r="P187" s="9" t="s">
        <v>144</v>
      </c>
      <c r="Q187" s="9" t="s">
        <v>746</v>
      </c>
      <c r="R187" s="9" t="s">
        <v>42</v>
      </c>
      <c r="S187" s="9" t="s">
        <v>71</v>
      </c>
      <c r="T187" s="9" t="s">
        <v>747</v>
      </c>
      <c r="U187" s="11">
        <v>7.16</v>
      </c>
    </row>
    <row r="188" spans="1:21" x14ac:dyDescent="0.3">
      <c r="A188" s="4">
        <v>187</v>
      </c>
      <c r="B188" s="5" t="s">
        <v>748</v>
      </c>
      <c r="C188" s="6">
        <v>42242</v>
      </c>
      <c r="D188" s="6" t="str">
        <f t="shared" si="6"/>
        <v>Aug</v>
      </c>
      <c r="E188" s="12">
        <f t="shared" si="7"/>
        <v>2015</v>
      </c>
      <c r="F188" s="6">
        <v>42246</v>
      </c>
      <c r="G188" s="12">
        <f t="shared" si="8"/>
        <v>4</v>
      </c>
      <c r="H188" s="5" t="s">
        <v>46</v>
      </c>
      <c r="I188" s="5" t="s">
        <v>749</v>
      </c>
      <c r="J188" s="5" t="s">
        <v>750</v>
      </c>
      <c r="K188" s="5" t="s">
        <v>98</v>
      </c>
      <c r="L188" s="5" t="s">
        <v>23</v>
      </c>
      <c r="M188" s="5" t="s">
        <v>38</v>
      </c>
      <c r="N188" s="5" t="s">
        <v>39</v>
      </c>
      <c r="O188" s="5">
        <v>90032</v>
      </c>
      <c r="P188" s="5" t="s">
        <v>40</v>
      </c>
      <c r="Q188" s="5" t="s">
        <v>751</v>
      </c>
      <c r="R188" s="5" t="s">
        <v>67</v>
      </c>
      <c r="S188" s="5" t="s">
        <v>157</v>
      </c>
      <c r="T188" s="5" t="s">
        <v>752</v>
      </c>
      <c r="U188" s="7">
        <v>176.8</v>
      </c>
    </row>
    <row r="189" spans="1:21" x14ac:dyDescent="0.3">
      <c r="A189" s="8">
        <v>188</v>
      </c>
      <c r="B189" s="9" t="s">
        <v>753</v>
      </c>
      <c r="C189" s="10">
        <v>42932</v>
      </c>
      <c r="D189" s="6" t="str">
        <f t="shared" si="6"/>
        <v>Jul</v>
      </c>
      <c r="E189" s="12">
        <f t="shared" si="7"/>
        <v>2017</v>
      </c>
      <c r="F189" s="10">
        <v>42938</v>
      </c>
      <c r="G189" s="12">
        <f t="shared" si="8"/>
        <v>6</v>
      </c>
      <c r="H189" s="9" t="s">
        <v>46</v>
      </c>
      <c r="I189" s="9" t="s">
        <v>754</v>
      </c>
      <c r="J189" s="9" t="s">
        <v>755</v>
      </c>
      <c r="K189" s="9" t="s">
        <v>37</v>
      </c>
      <c r="L189" s="9" t="s">
        <v>23</v>
      </c>
      <c r="M189" s="9" t="s">
        <v>756</v>
      </c>
      <c r="N189" s="9" t="s">
        <v>100</v>
      </c>
      <c r="O189" s="9">
        <v>75051</v>
      </c>
      <c r="P189" s="9" t="s">
        <v>101</v>
      </c>
      <c r="Q189" s="9" t="s">
        <v>757</v>
      </c>
      <c r="R189" s="9" t="s">
        <v>42</v>
      </c>
      <c r="S189" s="9" t="s">
        <v>55</v>
      </c>
      <c r="T189" s="9" t="s">
        <v>758</v>
      </c>
      <c r="U189" s="11">
        <v>37.223999999999997</v>
      </c>
    </row>
    <row r="190" spans="1:21" x14ac:dyDescent="0.3">
      <c r="A190" s="4">
        <v>189</v>
      </c>
      <c r="B190" s="5" t="s">
        <v>753</v>
      </c>
      <c r="C190" s="6">
        <v>42932</v>
      </c>
      <c r="D190" s="6" t="str">
        <f t="shared" si="6"/>
        <v>Jul</v>
      </c>
      <c r="E190" s="12">
        <f t="shared" si="7"/>
        <v>2017</v>
      </c>
      <c r="F190" s="6">
        <v>42938</v>
      </c>
      <c r="G190" s="12">
        <f t="shared" si="8"/>
        <v>6</v>
      </c>
      <c r="H190" s="5" t="s">
        <v>46</v>
      </c>
      <c r="I190" s="5" t="s">
        <v>754</v>
      </c>
      <c r="J190" s="5" t="s">
        <v>755</v>
      </c>
      <c r="K190" s="5" t="s">
        <v>37</v>
      </c>
      <c r="L190" s="5" t="s">
        <v>23</v>
      </c>
      <c r="M190" s="5" t="s">
        <v>756</v>
      </c>
      <c r="N190" s="5" t="s">
        <v>100</v>
      </c>
      <c r="O190" s="5">
        <v>75051</v>
      </c>
      <c r="P190" s="5" t="s">
        <v>101</v>
      </c>
      <c r="Q190" s="5" t="s">
        <v>628</v>
      </c>
      <c r="R190" s="5" t="s">
        <v>42</v>
      </c>
      <c r="S190" s="5" t="s">
        <v>86</v>
      </c>
      <c r="T190" s="5" t="s">
        <v>629</v>
      </c>
      <c r="U190" s="7">
        <v>20.015999999999998</v>
      </c>
    </row>
    <row r="191" spans="1:21" x14ac:dyDescent="0.3">
      <c r="A191" s="8">
        <v>190</v>
      </c>
      <c r="B191" s="9" t="s">
        <v>759</v>
      </c>
      <c r="C191" s="10">
        <v>42655</v>
      </c>
      <c r="D191" s="6" t="str">
        <f t="shared" si="6"/>
        <v>Oct</v>
      </c>
      <c r="E191" s="12">
        <f t="shared" si="7"/>
        <v>2016</v>
      </c>
      <c r="F191" s="10">
        <v>42657</v>
      </c>
      <c r="G191" s="12">
        <f t="shared" si="8"/>
        <v>2</v>
      </c>
      <c r="H191" s="9" t="s">
        <v>184</v>
      </c>
      <c r="I191" s="9" t="s">
        <v>760</v>
      </c>
      <c r="J191" s="9" t="s">
        <v>761</v>
      </c>
      <c r="K191" s="9" t="s">
        <v>98</v>
      </c>
      <c r="L191" s="9" t="s">
        <v>23</v>
      </c>
      <c r="M191" s="9" t="s">
        <v>262</v>
      </c>
      <c r="N191" s="9" t="s">
        <v>263</v>
      </c>
      <c r="O191" s="9">
        <v>10035</v>
      </c>
      <c r="P191" s="9" t="s">
        <v>144</v>
      </c>
      <c r="Q191" s="9" t="s">
        <v>762</v>
      </c>
      <c r="R191" s="9" t="s">
        <v>28</v>
      </c>
      <c r="S191" s="9" t="s">
        <v>29</v>
      </c>
      <c r="T191" s="9" t="s">
        <v>763</v>
      </c>
      <c r="U191" s="11">
        <v>899.13599999999997</v>
      </c>
    </row>
    <row r="192" spans="1:21" x14ac:dyDescent="0.3">
      <c r="A192" s="4">
        <v>191</v>
      </c>
      <c r="B192" s="5" t="s">
        <v>759</v>
      </c>
      <c r="C192" s="6">
        <v>42655</v>
      </c>
      <c r="D192" s="6" t="str">
        <f t="shared" si="6"/>
        <v>Oct</v>
      </c>
      <c r="E192" s="12">
        <f t="shared" si="7"/>
        <v>2016</v>
      </c>
      <c r="F192" s="6">
        <v>42657</v>
      </c>
      <c r="G192" s="12">
        <f t="shared" si="8"/>
        <v>2</v>
      </c>
      <c r="H192" s="5" t="s">
        <v>184</v>
      </c>
      <c r="I192" s="5" t="s">
        <v>760</v>
      </c>
      <c r="J192" s="5" t="s">
        <v>761</v>
      </c>
      <c r="K192" s="5" t="s">
        <v>98</v>
      </c>
      <c r="L192" s="5" t="s">
        <v>23</v>
      </c>
      <c r="M192" s="5" t="s">
        <v>262</v>
      </c>
      <c r="N192" s="5" t="s">
        <v>263</v>
      </c>
      <c r="O192" s="5">
        <v>10035</v>
      </c>
      <c r="P192" s="5" t="s">
        <v>144</v>
      </c>
      <c r="Q192" s="5" t="s">
        <v>764</v>
      </c>
      <c r="R192" s="5" t="s">
        <v>67</v>
      </c>
      <c r="S192" s="5" t="s">
        <v>68</v>
      </c>
      <c r="T192" s="5" t="s">
        <v>765</v>
      </c>
      <c r="U192" s="7">
        <v>71.760000000000005</v>
      </c>
    </row>
    <row r="193" spans="1:21" x14ac:dyDescent="0.3">
      <c r="A193" s="8">
        <v>192</v>
      </c>
      <c r="B193" s="9" t="s">
        <v>759</v>
      </c>
      <c r="C193" s="10">
        <v>42655</v>
      </c>
      <c r="D193" s="6" t="str">
        <f t="shared" si="6"/>
        <v>Oct</v>
      </c>
      <c r="E193" s="12">
        <f t="shared" si="7"/>
        <v>2016</v>
      </c>
      <c r="F193" s="10">
        <v>42657</v>
      </c>
      <c r="G193" s="12">
        <f t="shared" si="8"/>
        <v>2</v>
      </c>
      <c r="H193" s="9" t="s">
        <v>184</v>
      </c>
      <c r="I193" s="9" t="s">
        <v>760</v>
      </c>
      <c r="J193" s="9" t="s">
        <v>761</v>
      </c>
      <c r="K193" s="9" t="s">
        <v>98</v>
      </c>
      <c r="L193" s="9" t="s">
        <v>23</v>
      </c>
      <c r="M193" s="9" t="s">
        <v>262</v>
      </c>
      <c r="N193" s="9" t="s">
        <v>263</v>
      </c>
      <c r="O193" s="9">
        <v>10035</v>
      </c>
      <c r="P193" s="9" t="s">
        <v>144</v>
      </c>
      <c r="Q193" s="9" t="s">
        <v>766</v>
      </c>
      <c r="R193" s="9" t="s">
        <v>42</v>
      </c>
      <c r="S193" s="9" t="s">
        <v>86</v>
      </c>
      <c r="T193" s="9" t="s">
        <v>767</v>
      </c>
      <c r="U193" s="11">
        <v>51.84</v>
      </c>
    </row>
    <row r="194" spans="1:21" x14ac:dyDescent="0.3">
      <c r="A194" s="4">
        <v>193</v>
      </c>
      <c r="B194" s="5" t="s">
        <v>759</v>
      </c>
      <c r="C194" s="6">
        <v>42655</v>
      </c>
      <c r="D194" s="6" t="str">
        <f t="shared" si="6"/>
        <v>Oct</v>
      </c>
      <c r="E194" s="12">
        <f t="shared" si="7"/>
        <v>2016</v>
      </c>
      <c r="F194" s="6">
        <v>42657</v>
      </c>
      <c r="G194" s="12">
        <f t="shared" si="8"/>
        <v>2</v>
      </c>
      <c r="H194" s="5" t="s">
        <v>184</v>
      </c>
      <c r="I194" s="5" t="s">
        <v>760</v>
      </c>
      <c r="J194" s="5" t="s">
        <v>761</v>
      </c>
      <c r="K194" s="5" t="s">
        <v>98</v>
      </c>
      <c r="L194" s="5" t="s">
        <v>23</v>
      </c>
      <c r="M194" s="5" t="s">
        <v>262</v>
      </c>
      <c r="N194" s="5" t="s">
        <v>263</v>
      </c>
      <c r="O194" s="5">
        <v>10035</v>
      </c>
      <c r="P194" s="5" t="s">
        <v>144</v>
      </c>
      <c r="Q194" s="5" t="s">
        <v>197</v>
      </c>
      <c r="R194" s="5" t="s">
        <v>28</v>
      </c>
      <c r="S194" s="5" t="s">
        <v>29</v>
      </c>
      <c r="T194" s="5" t="s">
        <v>198</v>
      </c>
      <c r="U194" s="7">
        <v>626.35199999999998</v>
      </c>
    </row>
    <row r="195" spans="1:21" x14ac:dyDescent="0.3">
      <c r="A195" s="8">
        <v>194</v>
      </c>
      <c r="B195" s="9" t="s">
        <v>759</v>
      </c>
      <c r="C195" s="10">
        <v>42655</v>
      </c>
      <c r="D195" s="6" t="str">
        <f t="shared" ref="D195:D258" si="9">TEXT(C195,"MMM")</f>
        <v>Oct</v>
      </c>
      <c r="E195" s="12">
        <f t="shared" ref="E195:E258" si="10">YEAR(C195)</f>
        <v>2016</v>
      </c>
      <c r="F195" s="10">
        <v>42657</v>
      </c>
      <c r="G195" s="12">
        <f t="shared" ref="G195:G258" si="11">DATEDIF(C195,F195,"D")</f>
        <v>2</v>
      </c>
      <c r="H195" s="9" t="s">
        <v>184</v>
      </c>
      <c r="I195" s="9" t="s">
        <v>760</v>
      </c>
      <c r="J195" s="9" t="s">
        <v>761</v>
      </c>
      <c r="K195" s="9" t="s">
        <v>98</v>
      </c>
      <c r="L195" s="9" t="s">
        <v>23</v>
      </c>
      <c r="M195" s="9" t="s">
        <v>262</v>
      </c>
      <c r="N195" s="9" t="s">
        <v>263</v>
      </c>
      <c r="O195" s="9">
        <v>10035</v>
      </c>
      <c r="P195" s="9" t="s">
        <v>144</v>
      </c>
      <c r="Q195" s="9" t="s">
        <v>768</v>
      </c>
      <c r="R195" s="9" t="s">
        <v>42</v>
      </c>
      <c r="S195" s="9" t="s">
        <v>64</v>
      </c>
      <c r="T195" s="9" t="s">
        <v>769</v>
      </c>
      <c r="U195" s="11">
        <v>19.899999999999999</v>
      </c>
    </row>
    <row r="196" spans="1:21" x14ac:dyDescent="0.3">
      <c r="A196" s="4">
        <v>195</v>
      </c>
      <c r="B196" s="5" t="s">
        <v>770</v>
      </c>
      <c r="C196" s="6">
        <v>42674</v>
      </c>
      <c r="D196" s="6" t="str">
        <f t="shared" si="9"/>
        <v>Oct</v>
      </c>
      <c r="E196" s="12">
        <f t="shared" si="10"/>
        <v>2016</v>
      </c>
      <c r="F196" s="6">
        <v>42680</v>
      </c>
      <c r="G196" s="12">
        <f t="shared" si="11"/>
        <v>6</v>
      </c>
      <c r="H196" s="5" t="s">
        <v>46</v>
      </c>
      <c r="I196" s="5" t="s">
        <v>771</v>
      </c>
      <c r="J196" s="5" t="s">
        <v>772</v>
      </c>
      <c r="K196" s="5" t="s">
        <v>37</v>
      </c>
      <c r="L196" s="5" t="s">
        <v>23</v>
      </c>
      <c r="M196" s="5" t="s">
        <v>773</v>
      </c>
      <c r="N196" s="5" t="s">
        <v>39</v>
      </c>
      <c r="O196" s="5">
        <v>92374</v>
      </c>
      <c r="P196" s="5" t="s">
        <v>40</v>
      </c>
      <c r="Q196" s="5" t="s">
        <v>168</v>
      </c>
      <c r="R196" s="5" t="s">
        <v>42</v>
      </c>
      <c r="S196" s="5" t="s">
        <v>169</v>
      </c>
      <c r="T196" s="5" t="s">
        <v>170</v>
      </c>
      <c r="U196" s="7">
        <v>14.28</v>
      </c>
    </row>
    <row r="197" spans="1:21" x14ac:dyDescent="0.3">
      <c r="A197" s="8">
        <v>196</v>
      </c>
      <c r="B197" s="9" t="s">
        <v>774</v>
      </c>
      <c r="C197" s="10">
        <v>42084</v>
      </c>
      <c r="D197" s="6" t="str">
        <f t="shared" si="9"/>
        <v>Mar</v>
      </c>
      <c r="E197" s="12">
        <f t="shared" si="10"/>
        <v>2015</v>
      </c>
      <c r="F197" s="10">
        <v>42088</v>
      </c>
      <c r="G197" s="12">
        <f t="shared" si="11"/>
        <v>4</v>
      </c>
      <c r="H197" s="9" t="s">
        <v>46</v>
      </c>
      <c r="I197" s="9" t="s">
        <v>775</v>
      </c>
      <c r="J197" s="9" t="s">
        <v>776</v>
      </c>
      <c r="K197" s="9" t="s">
        <v>22</v>
      </c>
      <c r="L197" s="9" t="s">
        <v>23</v>
      </c>
      <c r="M197" s="9" t="s">
        <v>777</v>
      </c>
      <c r="N197" s="9" t="s">
        <v>494</v>
      </c>
      <c r="O197" s="9">
        <v>45011</v>
      </c>
      <c r="P197" s="9" t="s">
        <v>144</v>
      </c>
      <c r="Q197" s="9" t="s">
        <v>778</v>
      </c>
      <c r="R197" s="9" t="s">
        <v>42</v>
      </c>
      <c r="S197" s="9" t="s">
        <v>64</v>
      </c>
      <c r="T197" s="9" t="s">
        <v>779</v>
      </c>
      <c r="U197" s="11">
        <v>7.4080000000000004</v>
      </c>
    </row>
    <row r="198" spans="1:21" x14ac:dyDescent="0.3">
      <c r="A198" s="4">
        <v>197</v>
      </c>
      <c r="B198" s="5" t="s">
        <v>774</v>
      </c>
      <c r="C198" s="6">
        <v>42084</v>
      </c>
      <c r="D198" s="6" t="str">
        <f t="shared" si="9"/>
        <v>Mar</v>
      </c>
      <c r="E198" s="12">
        <f t="shared" si="10"/>
        <v>2015</v>
      </c>
      <c r="F198" s="6">
        <v>42088</v>
      </c>
      <c r="G198" s="12">
        <f t="shared" si="11"/>
        <v>4</v>
      </c>
      <c r="H198" s="5" t="s">
        <v>46</v>
      </c>
      <c r="I198" s="5" t="s">
        <v>775</v>
      </c>
      <c r="J198" s="5" t="s">
        <v>776</v>
      </c>
      <c r="K198" s="5" t="s">
        <v>22</v>
      </c>
      <c r="L198" s="5" t="s">
        <v>23</v>
      </c>
      <c r="M198" s="5" t="s">
        <v>777</v>
      </c>
      <c r="N198" s="5" t="s">
        <v>494</v>
      </c>
      <c r="O198" s="5">
        <v>45011</v>
      </c>
      <c r="P198" s="5" t="s">
        <v>144</v>
      </c>
      <c r="Q198" s="5" t="s">
        <v>780</v>
      </c>
      <c r="R198" s="5" t="s">
        <v>42</v>
      </c>
      <c r="S198" s="5" t="s">
        <v>64</v>
      </c>
      <c r="T198" s="5" t="s">
        <v>781</v>
      </c>
      <c r="U198" s="7">
        <v>6.048</v>
      </c>
    </row>
    <row r="199" spans="1:21" x14ac:dyDescent="0.3">
      <c r="A199" s="8">
        <v>198</v>
      </c>
      <c r="B199" s="9" t="s">
        <v>782</v>
      </c>
      <c r="C199" s="10">
        <v>43410</v>
      </c>
      <c r="D199" s="6" t="str">
        <f t="shared" si="9"/>
        <v>Nov</v>
      </c>
      <c r="E199" s="12">
        <f t="shared" si="10"/>
        <v>2018</v>
      </c>
      <c r="F199" s="10">
        <v>43417</v>
      </c>
      <c r="G199" s="12">
        <f t="shared" si="11"/>
        <v>7</v>
      </c>
      <c r="H199" s="9" t="s">
        <v>46</v>
      </c>
      <c r="I199" s="9" t="s">
        <v>783</v>
      </c>
      <c r="J199" s="9" t="s">
        <v>784</v>
      </c>
      <c r="K199" s="9" t="s">
        <v>98</v>
      </c>
      <c r="L199" s="9" t="s">
        <v>23</v>
      </c>
      <c r="M199" s="9" t="s">
        <v>785</v>
      </c>
      <c r="N199" s="9" t="s">
        <v>786</v>
      </c>
      <c r="O199" s="9">
        <v>7090</v>
      </c>
      <c r="P199" s="9" t="s">
        <v>144</v>
      </c>
      <c r="Q199" s="9" t="s">
        <v>787</v>
      </c>
      <c r="R199" s="9" t="s">
        <v>42</v>
      </c>
      <c r="S199" s="9" t="s">
        <v>55</v>
      </c>
      <c r="T199" s="9" t="s">
        <v>788</v>
      </c>
      <c r="U199" s="11">
        <v>46.26</v>
      </c>
    </row>
    <row r="200" spans="1:21" x14ac:dyDescent="0.3">
      <c r="A200" s="4">
        <v>199</v>
      </c>
      <c r="B200" s="5" t="s">
        <v>789</v>
      </c>
      <c r="C200" s="6">
        <v>43287</v>
      </c>
      <c r="D200" s="6" t="str">
        <f t="shared" si="9"/>
        <v>Jul</v>
      </c>
      <c r="E200" s="12">
        <f t="shared" si="10"/>
        <v>2018</v>
      </c>
      <c r="F200" s="6">
        <v>43294</v>
      </c>
      <c r="G200" s="12">
        <f t="shared" si="11"/>
        <v>7</v>
      </c>
      <c r="H200" s="5" t="s">
        <v>46</v>
      </c>
      <c r="I200" s="5" t="s">
        <v>790</v>
      </c>
      <c r="J200" s="5" t="s">
        <v>791</v>
      </c>
      <c r="K200" s="5" t="s">
        <v>37</v>
      </c>
      <c r="L200" s="5" t="s">
        <v>23</v>
      </c>
      <c r="M200" s="5" t="s">
        <v>142</v>
      </c>
      <c r="N200" s="5" t="s">
        <v>143</v>
      </c>
      <c r="O200" s="5">
        <v>19120</v>
      </c>
      <c r="P200" s="5" t="s">
        <v>144</v>
      </c>
      <c r="Q200" s="5" t="s">
        <v>792</v>
      </c>
      <c r="R200" s="5" t="s">
        <v>42</v>
      </c>
      <c r="S200" s="5" t="s">
        <v>71</v>
      </c>
      <c r="T200" s="5" t="s">
        <v>793</v>
      </c>
      <c r="U200" s="7">
        <v>2.9460000000000002</v>
      </c>
    </row>
    <row r="201" spans="1:21" x14ac:dyDescent="0.3">
      <c r="A201" s="8">
        <v>200</v>
      </c>
      <c r="B201" s="9" t="s">
        <v>789</v>
      </c>
      <c r="C201" s="10">
        <v>43287</v>
      </c>
      <c r="D201" s="6" t="str">
        <f t="shared" si="9"/>
        <v>Jul</v>
      </c>
      <c r="E201" s="12">
        <f t="shared" si="10"/>
        <v>2018</v>
      </c>
      <c r="F201" s="10">
        <v>43294</v>
      </c>
      <c r="G201" s="12">
        <f t="shared" si="11"/>
        <v>7</v>
      </c>
      <c r="H201" s="9" t="s">
        <v>46</v>
      </c>
      <c r="I201" s="9" t="s">
        <v>790</v>
      </c>
      <c r="J201" s="9" t="s">
        <v>791</v>
      </c>
      <c r="K201" s="9" t="s">
        <v>37</v>
      </c>
      <c r="L201" s="9" t="s">
        <v>23</v>
      </c>
      <c r="M201" s="9" t="s">
        <v>142</v>
      </c>
      <c r="N201" s="9" t="s">
        <v>143</v>
      </c>
      <c r="O201" s="9">
        <v>19120</v>
      </c>
      <c r="P201" s="9" t="s">
        <v>144</v>
      </c>
      <c r="Q201" s="9" t="s">
        <v>794</v>
      </c>
      <c r="R201" s="9" t="s">
        <v>42</v>
      </c>
      <c r="S201" s="9" t="s">
        <v>86</v>
      </c>
      <c r="T201" s="9" t="s">
        <v>795</v>
      </c>
      <c r="U201" s="11">
        <v>16.056000000000001</v>
      </c>
    </row>
    <row r="202" spans="1:21" x14ac:dyDescent="0.3">
      <c r="A202" s="4">
        <v>201</v>
      </c>
      <c r="B202" s="5" t="s">
        <v>796</v>
      </c>
      <c r="C202" s="6">
        <v>43275</v>
      </c>
      <c r="D202" s="6" t="str">
        <f t="shared" si="9"/>
        <v>Jun</v>
      </c>
      <c r="E202" s="12">
        <f t="shared" si="10"/>
        <v>2018</v>
      </c>
      <c r="F202" s="6">
        <v>43280</v>
      </c>
      <c r="G202" s="12">
        <f t="shared" si="11"/>
        <v>5</v>
      </c>
      <c r="H202" s="5" t="s">
        <v>46</v>
      </c>
      <c r="I202" s="5" t="s">
        <v>797</v>
      </c>
      <c r="J202" s="5" t="s">
        <v>798</v>
      </c>
      <c r="K202" s="5" t="s">
        <v>22</v>
      </c>
      <c r="L202" s="5" t="s">
        <v>23</v>
      </c>
      <c r="M202" s="5" t="s">
        <v>799</v>
      </c>
      <c r="N202" s="5" t="s">
        <v>494</v>
      </c>
      <c r="O202" s="5">
        <v>44312</v>
      </c>
      <c r="P202" s="5" t="s">
        <v>144</v>
      </c>
      <c r="Q202" s="5" t="s">
        <v>800</v>
      </c>
      <c r="R202" s="5" t="s">
        <v>42</v>
      </c>
      <c r="S202" s="5" t="s">
        <v>86</v>
      </c>
      <c r="T202" s="5" t="s">
        <v>801</v>
      </c>
      <c r="U202" s="7">
        <v>21.744</v>
      </c>
    </row>
    <row r="203" spans="1:21" x14ac:dyDescent="0.3">
      <c r="A203" s="8">
        <v>202</v>
      </c>
      <c r="B203" s="9" t="s">
        <v>802</v>
      </c>
      <c r="C203" s="10">
        <v>42219</v>
      </c>
      <c r="D203" s="6" t="str">
        <f t="shared" si="9"/>
        <v>Aug</v>
      </c>
      <c r="E203" s="12">
        <f t="shared" si="10"/>
        <v>2015</v>
      </c>
      <c r="F203" s="10">
        <v>42221</v>
      </c>
      <c r="G203" s="12">
        <f t="shared" si="11"/>
        <v>2</v>
      </c>
      <c r="H203" s="9" t="s">
        <v>184</v>
      </c>
      <c r="I203" s="9" t="s">
        <v>803</v>
      </c>
      <c r="J203" s="9" t="s">
        <v>804</v>
      </c>
      <c r="K203" s="9" t="s">
        <v>22</v>
      </c>
      <c r="L203" s="9" t="s">
        <v>23</v>
      </c>
      <c r="M203" s="9" t="s">
        <v>805</v>
      </c>
      <c r="N203" s="9" t="s">
        <v>453</v>
      </c>
      <c r="O203" s="9">
        <v>80219</v>
      </c>
      <c r="P203" s="9" t="s">
        <v>40</v>
      </c>
      <c r="Q203" s="9" t="s">
        <v>806</v>
      </c>
      <c r="R203" s="9" t="s">
        <v>28</v>
      </c>
      <c r="S203" s="9" t="s">
        <v>52</v>
      </c>
      <c r="T203" s="9" t="s">
        <v>807</v>
      </c>
      <c r="U203" s="11">
        <v>218.75</v>
      </c>
    </row>
    <row r="204" spans="1:21" x14ac:dyDescent="0.3">
      <c r="A204" s="4">
        <v>203</v>
      </c>
      <c r="B204" s="5" t="s">
        <v>802</v>
      </c>
      <c r="C204" s="6">
        <v>42219</v>
      </c>
      <c r="D204" s="6" t="str">
        <f t="shared" si="9"/>
        <v>Aug</v>
      </c>
      <c r="E204" s="12">
        <f t="shared" si="10"/>
        <v>2015</v>
      </c>
      <c r="F204" s="6">
        <v>42221</v>
      </c>
      <c r="G204" s="12">
        <f t="shared" si="11"/>
        <v>2</v>
      </c>
      <c r="H204" s="5" t="s">
        <v>184</v>
      </c>
      <c r="I204" s="5" t="s">
        <v>803</v>
      </c>
      <c r="J204" s="5" t="s">
        <v>804</v>
      </c>
      <c r="K204" s="5" t="s">
        <v>22</v>
      </c>
      <c r="L204" s="5" t="s">
        <v>23</v>
      </c>
      <c r="M204" s="5" t="s">
        <v>805</v>
      </c>
      <c r="N204" s="5" t="s">
        <v>453</v>
      </c>
      <c r="O204" s="5">
        <v>80219</v>
      </c>
      <c r="P204" s="5" t="s">
        <v>40</v>
      </c>
      <c r="Q204" s="5" t="s">
        <v>808</v>
      </c>
      <c r="R204" s="5" t="s">
        <v>42</v>
      </c>
      <c r="S204" s="5" t="s">
        <v>74</v>
      </c>
      <c r="T204" s="5" t="s">
        <v>809</v>
      </c>
      <c r="U204" s="7">
        <v>2.6</v>
      </c>
    </row>
    <row r="205" spans="1:21" x14ac:dyDescent="0.3">
      <c r="A205" s="8">
        <v>204</v>
      </c>
      <c r="B205" s="9" t="s">
        <v>810</v>
      </c>
      <c r="C205" s="10">
        <v>43451</v>
      </c>
      <c r="D205" s="6" t="str">
        <f t="shared" si="9"/>
        <v>Dec</v>
      </c>
      <c r="E205" s="12">
        <f t="shared" si="10"/>
        <v>2018</v>
      </c>
      <c r="F205" s="10">
        <v>43455</v>
      </c>
      <c r="G205" s="12">
        <f t="shared" si="11"/>
        <v>4</v>
      </c>
      <c r="H205" s="9" t="s">
        <v>19</v>
      </c>
      <c r="I205" s="9" t="s">
        <v>811</v>
      </c>
      <c r="J205" s="9" t="s">
        <v>812</v>
      </c>
      <c r="K205" s="9" t="s">
        <v>22</v>
      </c>
      <c r="L205" s="9" t="s">
        <v>23</v>
      </c>
      <c r="M205" s="9" t="s">
        <v>813</v>
      </c>
      <c r="N205" s="9" t="s">
        <v>100</v>
      </c>
      <c r="O205" s="9">
        <v>75220</v>
      </c>
      <c r="P205" s="9" t="s">
        <v>101</v>
      </c>
      <c r="Q205" s="9" t="s">
        <v>814</v>
      </c>
      <c r="R205" s="9" t="s">
        <v>42</v>
      </c>
      <c r="S205" s="9" t="s">
        <v>74</v>
      </c>
      <c r="T205" s="9" t="s">
        <v>815</v>
      </c>
      <c r="U205" s="11">
        <v>66.284000000000006</v>
      </c>
    </row>
    <row r="206" spans="1:21" x14ac:dyDescent="0.3">
      <c r="A206" s="4">
        <v>205</v>
      </c>
      <c r="B206" s="5" t="s">
        <v>816</v>
      </c>
      <c r="C206" s="6">
        <v>43254</v>
      </c>
      <c r="D206" s="6" t="str">
        <f t="shared" si="9"/>
        <v>Jun</v>
      </c>
      <c r="E206" s="12">
        <f t="shared" si="10"/>
        <v>2018</v>
      </c>
      <c r="F206" s="6">
        <v>43258</v>
      </c>
      <c r="G206" s="12">
        <f t="shared" si="11"/>
        <v>4</v>
      </c>
      <c r="H206" s="5" t="s">
        <v>46</v>
      </c>
      <c r="I206" s="5" t="s">
        <v>817</v>
      </c>
      <c r="J206" s="5" t="s">
        <v>818</v>
      </c>
      <c r="K206" s="5" t="s">
        <v>37</v>
      </c>
      <c r="L206" s="5" t="s">
        <v>23</v>
      </c>
      <c r="M206" s="5" t="s">
        <v>609</v>
      </c>
      <c r="N206" s="5" t="s">
        <v>331</v>
      </c>
      <c r="O206" s="5">
        <v>37064</v>
      </c>
      <c r="P206" s="5" t="s">
        <v>26</v>
      </c>
      <c r="Q206" s="5" t="s">
        <v>819</v>
      </c>
      <c r="R206" s="5" t="s">
        <v>28</v>
      </c>
      <c r="S206" s="5" t="s">
        <v>61</v>
      </c>
      <c r="T206" s="5" t="s">
        <v>820</v>
      </c>
      <c r="U206" s="7">
        <v>35.167999999999999</v>
      </c>
    </row>
    <row r="207" spans="1:21" x14ac:dyDescent="0.3">
      <c r="A207" s="8">
        <v>206</v>
      </c>
      <c r="B207" s="9" t="s">
        <v>821</v>
      </c>
      <c r="C207" s="10">
        <v>43443</v>
      </c>
      <c r="D207" s="6" t="str">
        <f t="shared" si="9"/>
        <v>Dec</v>
      </c>
      <c r="E207" s="12">
        <f t="shared" si="10"/>
        <v>2018</v>
      </c>
      <c r="F207" s="10">
        <v>43448</v>
      </c>
      <c r="G207" s="12">
        <f t="shared" si="11"/>
        <v>5</v>
      </c>
      <c r="H207" s="9" t="s">
        <v>46</v>
      </c>
      <c r="I207" s="9" t="s">
        <v>822</v>
      </c>
      <c r="J207" s="9" t="s">
        <v>823</v>
      </c>
      <c r="K207" s="9" t="s">
        <v>22</v>
      </c>
      <c r="L207" s="9" t="s">
        <v>23</v>
      </c>
      <c r="M207" s="9" t="s">
        <v>824</v>
      </c>
      <c r="N207" s="9" t="s">
        <v>39</v>
      </c>
      <c r="O207" s="9">
        <v>90604</v>
      </c>
      <c r="P207" s="9" t="s">
        <v>40</v>
      </c>
      <c r="Q207" s="9" t="s">
        <v>825</v>
      </c>
      <c r="R207" s="9" t="s">
        <v>67</v>
      </c>
      <c r="S207" s="9" t="s">
        <v>68</v>
      </c>
      <c r="T207" s="9" t="s">
        <v>826</v>
      </c>
      <c r="U207" s="11">
        <v>444.76799999999997</v>
      </c>
    </row>
    <row r="208" spans="1:21" x14ac:dyDescent="0.3">
      <c r="A208" s="4">
        <v>207</v>
      </c>
      <c r="B208" s="5" t="s">
        <v>827</v>
      </c>
      <c r="C208" s="6">
        <v>43435</v>
      </c>
      <c r="D208" s="6" t="str">
        <f t="shared" si="9"/>
        <v>Dec</v>
      </c>
      <c r="E208" s="12">
        <f t="shared" si="10"/>
        <v>2018</v>
      </c>
      <c r="F208" s="6">
        <v>43441</v>
      </c>
      <c r="G208" s="12">
        <f t="shared" si="11"/>
        <v>6</v>
      </c>
      <c r="H208" s="5" t="s">
        <v>46</v>
      </c>
      <c r="I208" s="5" t="s">
        <v>828</v>
      </c>
      <c r="J208" s="5" t="s">
        <v>829</v>
      </c>
      <c r="K208" s="5" t="s">
        <v>22</v>
      </c>
      <c r="L208" s="5" t="s">
        <v>23</v>
      </c>
      <c r="M208" s="5" t="s">
        <v>830</v>
      </c>
      <c r="N208" s="5" t="s">
        <v>234</v>
      </c>
      <c r="O208" s="5">
        <v>48601</v>
      </c>
      <c r="P208" s="5" t="s">
        <v>101</v>
      </c>
      <c r="Q208" s="5" t="s">
        <v>831</v>
      </c>
      <c r="R208" s="5" t="s">
        <v>42</v>
      </c>
      <c r="S208" s="5" t="s">
        <v>55</v>
      </c>
      <c r="T208" s="5" t="s">
        <v>832</v>
      </c>
      <c r="U208" s="7">
        <v>83.92</v>
      </c>
    </row>
    <row r="209" spans="1:21" x14ac:dyDescent="0.3">
      <c r="A209" s="8">
        <v>208</v>
      </c>
      <c r="B209" s="9" t="s">
        <v>827</v>
      </c>
      <c r="C209" s="10">
        <v>43435</v>
      </c>
      <c r="D209" s="6" t="str">
        <f t="shared" si="9"/>
        <v>Dec</v>
      </c>
      <c r="E209" s="12">
        <f t="shared" si="10"/>
        <v>2018</v>
      </c>
      <c r="F209" s="10">
        <v>43441</v>
      </c>
      <c r="G209" s="12">
        <f t="shared" si="11"/>
        <v>6</v>
      </c>
      <c r="H209" s="9" t="s">
        <v>46</v>
      </c>
      <c r="I209" s="9" t="s">
        <v>828</v>
      </c>
      <c r="J209" s="9" t="s">
        <v>829</v>
      </c>
      <c r="K209" s="9" t="s">
        <v>22</v>
      </c>
      <c r="L209" s="9" t="s">
        <v>23</v>
      </c>
      <c r="M209" s="9" t="s">
        <v>830</v>
      </c>
      <c r="N209" s="9" t="s">
        <v>234</v>
      </c>
      <c r="O209" s="9">
        <v>48601</v>
      </c>
      <c r="P209" s="9" t="s">
        <v>101</v>
      </c>
      <c r="Q209" s="9" t="s">
        <v>833</v>
      </c>
      <c r="R209" s="9" t="s">
        <v>67</v>
      </c>
      <c r="S209" s="9" t="s">
        <v>68</v>
      </c>
      <c r="T209" s="9" t="s">
        <v>834</v>
      </c>
      <c r="U209" s="11">
        <v>131.97999999999999</v>
      </c>
    </row>
    <row r="210" spans="1:21" x14ac:dyDescent="0.3">
      <c r="A210" s="4">
        <v>209</v>
      </c>
      <c r="B210" s="5" t="s">
        <v>827</v>
      </c>
      <c r="C210" s="6">
        <v>43435</v>
      </c>
      <c r="D210" s="6" t="str">
        <f t="shared" si="9"/>
        <v>Dec</v>
      </c>
      <c r="E210" s="12">
        <f t="shared" si="10"/>
        <v>2018</v>
      </c>
      <c r="F210" s="6">
        <v>43441</v>
      </c>
      <c r="G210" s="12">
        <f t="shared" si="11"/>
        <v>6</v>
      </c>
      <c r="H210" s="5" t="s">
        <v>46</v>
      </c>
      <c r="I210" s="5" t="s">
        <v>828</v>
      </c>
      <c r="J210" s="5" t="s">
        <v>829</v>
      </c>
      <c r="K210" s="5" t="s">
        <v>22</v>
      </c>
      <c r="L210" s="5" t="s">
        <v>23</v>
      </c>
      <c r="M210" s="5" t="s">
        <v>830</v>
      </c>
      <c r="N210" s="5" t="s">
        <v>234</v>
      </c>
      <c r="O210" s="5">
        <v>48601</v>
      </c>
      <c r="P210" s="5" t="s">
        <v>101</v>
      </c>
      <c r="Q210" s="5" t="s">
        <v>541</v>
      </c>
      <c r="R210" s="5" t="s">
        <v>42</v>
      </c>
      <c r="S210" s="5" t="s">
        <v>71</v>
      </c>
      <c r="T210" s="5" t="s">
        <v>542</v>
      </c>
      <c r="U210" s="7">
        <v>15.92</v>
      </c>
    </row>
    <row r="211" spans="1:21" x14ac:dyDescent="0.3">
      <c r="A211" s="8">
        <v>210</v>
      </c>
      <c r="B211" s="9" t="s">
        <v>827</v>
      </c>
      <c r="C211" s="10">
        <v>43435</v>
      </c>
      <c r="D211" s="6" t="str">
        <f t="shared" si="9"/>
        <v>Dec</v>
      </c>
      <c r="E211" s="12">
        <f t="shared" si="10"/>
        <v>2018</v>
      </c>
      <c r="F211" s="10">
        <v>43441</v>
      </c>
      <c r="G211" s="12">
        <f t="shared" si="11"/>
        <v>6</v>
      </c>
      <c r="H211" s="9" t="s">
        <v>46</v>
      </c>
      <c r="I211" s="9" t="s">
        <v>828</v>
      </c>
      <c r="J211" s="9" t="s">
        <v>829</v>
      </c>
      <c r="K211" s="9" t="s">
        <v>22</v>
      </c>
      <c r="L211" s="9" t="s">
        <v>23</v>
      </c>
      <c r="M211" s="9" t="s">
        <v>830</v>
      </c>
      <c r="N211" s="9" t="s">
        <v>234</v>
      </c>
      <c r="O211" s="9">
        <v>48601</v>
      </c>
      <c r="P211" s="9" t="s">
        <v>101</v>
      </c>
      <c r="Q211" s="9" t="s">
        <v>835</v>
      </c>
      <c r="R211" s="9" t="s">
        <v>42</v>
      </c>
      <c r="S211" s="9" t="s">
        <v>265</v>
      </c>
      <c r="T211" s="9" t="s">
        <v>836</v>
      </c>
      <c r="U211" s="11">
        <v>52.29</v>
      </c>
    </row>
    <row r="212" spans="1:21" x14ac:dyDescent="0.3">
      <c r="A212" s="4">
        <v>211</v>
      </c>
      <c r="B212" s="5" t="s">
        <v>827</v>
      </c>
      <c r="C212" s="6">
        <v>43435</v>
      </c>
      <c r="D212" s="6" t="str">
        <f t="shared" si="9"/>
        <v>Dec</v>
      </c>
      <c r="E212" s="12">
        <f t="shared" si="10"/>
        <v>2018</v>
      </c>
      <c r="F212" s="6">
        <v>43441</v>
      </c>
      <c r="G212" s="12">
        <f t="shared" si="11"/>
        <v>6</v>
      </c>
      <c r="H212" s="5" t="s">
        <v>46</v>
      </c>
      <c r="I212" s="5" t="s">
        <v>828</v>
      </c>
      <c r="J212" s="5" t="s">
        <v>829</v>
      </c>
      <c r="K212" s="5" t="s">
        <v>22</v>
      </c>
      <c r="L212" s="5" t="s">
        <v>23</v>
      </c>
      <c r="M212" s="5" t="s">
        <v>830</v>
      </c>
      <c r="N212" s="5" t="s">
        <v>234</v>
      </c>
      <c r="O212" s="5">
        <v>48601</v>
      </c>
      <c r="P212" s="5" t="s">
        <v>101</v>
      </c>
      <c r="Q212" s="5" t="s">
        <v>837</v>
      </c>
      <c r="R212" s="5" t="s">
        <v>42</v>
      </c>
      <c r="S212" s="5" t="s">
        <v>55</v>
      </c>
      <c r="T212" s="5" t="s">
        <v>838</v>
      </c>
      <c r="U212" s="7">
        <v>91.99</v>
      </c>
    </row>
    <row r="213" spans="1:21" x14ac:dyDescent="0.3">
      <c r="A213" s="8">
        <v>212</v>
      </c>
      <c r="B213" s="9" t="s">
        <v>839</v>
      </c>
      <c r="C213" s="10">
        <v>42409</v>
      </c>
      <c r="D213" s="6" t="str">
        <f t="shared" si="9"/>
        <v>Feb</v>
      </c>
      <c r="E213" s="12">
        <f t="shared" si="10"/>
        <v>2016</v>
      </c>
      <c r="F213" s="10">
        <v>42413</v>
      </c>
      <c r="G213" s="12">
        <f t="shared" si="11"/>
        <v>4</v>
      </c>
      <c r="H213" s="9" t="s">
        <v>19</v>
      </c>
      <c r="I213" s="9" t="s">
        <v>840</v>
      </c>
      <c r="J213" s="9" t="s">
        <v>841</v>
      </c>
      <c r="K213" s="9" t="s">
        <v>37</v>
      </c>
      <c r="L213" s="9" t="s">
        <v>23</v>
      </c>
      <c r="M213" s="9" t="s">
        <v>813</v>
      </c>
      <c r="N213" s="9" t="s">
        <v>100</v>
      </c>
      <c r="O213" s="9">
        <v>75220</v>
      </c>
      <c r="P213" s="9" t="s">
        <v>101</v>
      </c>
      <c r="Q213" s="9" t="s">
        <v>842</v>
      </c>
      <c r="R213" s="9" t="s">
        <v>67</v>
      </c>
      <c r="S213" s="9" t="s">
        <v>157</v>
      </c>
      <c r="T213" s="9" t="s">
        <v>843</v>
      </c>
      <c r="U213" s="11">
        <v>20.8</v>
      </c>
    </row>
    <row r="214" spans="1:21" x14ac:dyDescent="0.3">
      <c r="A214" s="4">
        <v>213</v>
      </c>
      <c r="B214" s="5" t="s">
        <v>844</v>
      </c>
      <c r="C214" s="6">
        <v>42371</v>
      </c>
      <c r="D214" s="6" t="str">
        <f t="shared" si="9"/>
        <v>Jan</v>
      </c>
      <c r="E214" s="12">
        <f t="shared" si="10"/>
        <v>2016</v>
      </c>
      <c r="F214" s="6">
        <v>42378</v>
      </c>
      <c r="G214" s="12">
        <f t="shared" si="11"/>
        <v>7</v>
      </c>
      <c r="H214" s="5" t="s">
        <v>46</v>
      </c>
      <c r="I214" s="5" t="s">
        <v>845</v>
      </c>
      <c r="J214" s="5" t="s">
        <v>846</v>
      </c>
      <c r="K214" s="5" t="s">
        <v>37</v>
      </c>
      <c r="L214" s="5" t="s">
        <v>23</v>
      </c>
      <c r="M214" s="5" t="s">
        <v>847</v>
      </c>
      <c r="N214" s="5" t="s">
        <v>494</v>
      </c>
      <c r="O214" s="5">
        <v>44256</v>
      </c>
      <c r="P214" s="5" t="s">
        <v>144</v>
      </c>
      <c r="Q214" s="5" t="s">
        <v>848</v>
      </c>
      <c r="R214" s="5" t="s">
        <v>42</v>
      </c>
      <c r="S214" s="5" t="s">
        <v>43</v>
      </c>
      <c r="T214" s="5" t="s">
        <v>849</v>
      </c>
      <c r="U214" s="7">
        <v>23.68</v>
      </c>
    </row>
    <row r="215" spans="1:21" x14ac:dyDescent="0.3">
      <c r="A215" s="8">
        <v>214</v>
      </c>
      <c r="B215" s="9" t="s">
        <v>844</v>
      </c>
      <c r="C215" s="10">
        <v>42371</v>
      </c>
      <c r="D215" s="6" t="str">
        <f t="shared" si="9"/>
        <v>Jan</v>
      </c>
      <c r="E215" s="12">
        <f t="shared" si="10"/>
        <v>2016</v>
      </c>
      <c r="F215" s="10">
        <v>42378</v>
      </c>
      <c r="G215" s="12">
        <f t="shared" si="11"/>
        <v>7</v>
      </c>
      <c r="H215" s="9" t="s">
        <v>46</v>
      </c>
      <c r="I215" s="9" t="s">
        <v>845</v>
      </c>
      <c r="J215" s="9" t="s">
        <v>846</v>
      </c>
      <c r="K215" s="9" t="s">
        <v>37</v>
      </c>
      <c r="L215" s="9" t="s">
        <v>23</v>
      </c>
      <c r="M215" s="9" t="s">
        <v>847</v>
      </c>
      <c r="N215" s="9" t="s">
        <v>494</v>
      </c>
      <c r="O215" s="9">
        <v>44256</v>
      </c>
      <c r="P215" s="9" t="s">
        <v>144</v>
      </c>
      <c r="Q215" s="9" t="s">
        <v>850</v>
      </c>
      <c r="R215" s="9" t="s">
        <v>28</v>
      </c>
      <c r="S215" s="9" t="s">
        <v>29</v>
      </c>
      <c r="T215" s="9" t="s">
        <v>851</v>
      </c>
      <c r="U215" s="11">
        <v>452.45</v>
      </c>
    </row>
    <row r="216" spans="1:21" x14ac:dyDescent="0.3">
      <c r="A216" s="4">
        <v>215</v>
      </c>
      <c r="B216" s="5" t="s">
        <v>844</v>
      </c>
      <c r="C216" s="6">
        <v>42371</v>
      </c>
      <c r="D216" s="6" t="str">
        <f t="shared" si="9"/>
        <v>Jan</v>
      </c>
      <c r="E216" s="12">
        <f t="shared" si="10"/>
        <v>2016</v>
      </c>
      <c r="F216" s="6">
        <v>42378</v>
      </c>
      <c r="G216" s="12">
        <f t="shared" si="11"/>
        <v>7</v>
      </c>
      <c r="H216" s="5" t="s">
        <v>46</v>
      </c>
      <c r="I216" s="5" t="s">
        <v>845</v>
      </c>
      <c r="J216" s="5" t="s">
        <v>846</v>
      </c>
      <c r="K216" s="5" t="s">
        <v>37</v>
      </c>
      <c r="L216" s="5" t="s">
        <v>23</v>
      </c>
      <c r="M216" s="5" t="s">
        <v>847</v>
      </c>
      <c r="N216" s="5" t="s">
        <v>494</v>
      </c>
      <c r="O216" s="5">
        <v>44256</v>
      </c>
      <c r="P216" s="5" t="s">
        <v>144</v>
      </c>
      <c r="Q216" s="5" t="s">
        <v>466</v>
      </c>
      <c r="R216" s="5" t="s">
        <v>67</v>
      </c>
      <c r="S216" s="5" t="s">
        <v>68</v>
      </c>
      <c r="T216" s="5" t="s">
        <v>467</v>
      </c>
      <c r="U216" s="7">
        <v>62.981999999999999</v>
      </c>
    </row>
    <row r="217" spans="1:21" x14ac:dyDescent="0.3">
      <c r="A217" s="8">
        <v>216</v>
      </c>
      <c r="B217" s="9" t="s">
        <v>844</v>
      </c>
      <c r="C217" s="10">
        <v>42371</v>
      </c>
      <c r="D217" s="6" t="str">
        <f t="shared" si="9"/>
        <v>Jan</v>
      </c>
      <c r="E217" s="12">
        <f t="shared" si="10"/>
        <v>2016</v>
      </c>
      <c r="F217" s="10">
        <v>42378</v>
      </c>
      <c r="G217" s="12">
        <f t="shared" si="11"/>
        <v>7</v>
      </c>
      <c r="H217" s="9" t="s">
        <v>46</v>
      </c>
      <c r="I217" s="9" t="s">
        <v>845</v>
      </c>
      <c r="J217" s="9" t="s">
        <v>846</v>
      </c>
      <c r="K217" s="9" t="s">
        <v>37</v>
      </c>
      <c r="L217" s="9" t="s">
        <v>23</v>
      </c>
      <c r="M217" s="9" t="s">
        <v>847</v>
      </c>
      <c r="N217" s="9" t="s">
        <v>494</v>
      </c>
      <c r="O217" s="9">
        <v>44256</v>
      </c>
      <c r="P217" s="9" t="s">
        <v>144</v>
      </c>
      <c r="Q217" s="9" t="s">
        <v>852</v>
      </c>
      <c r="R217" s="9" t="s">
        <v>67</v>
      </c>
      <c r="S217" s="9" t="s">
        <v>680</v>
      </c>
      <c r="T217" s="9" t="s">
        <v>853</v>
      </c>
      <c r="U217" s="11">
        <v>1188</v>
      </c>
    </row>
    <row r="218" spans="1:21" x14ac:dyDescent="0.3">
      <c r="A218" s="4">
        <v>217</v>
      </c>
      <c r="B218" s="5" t="s">
        <v>844</v>
      </c>
      <c r="C218" s="6">
        <v>42371</v>
      </c>
      <c r="D218" s="6" t="str">
        <f t="shared" si="9"/>
        <v>Jan</v>
      </c>
      <c r="E218" s="12">
        <f t="shared" si="10"/>
        <v>2016</v>
      </c>
      <c r="F218" s="6">
        <v>42378</v>
      </c>
      <c r="G218" s="12">
        <f t="shared" si="11"/>
        <v>7</v>
      </c>
      <c r="H218" s="5" t="s">
        <v>46</v>
      </c>
      <c r="I218" s="5" t="s">
        <v>845</v>
      </c>
      <c r="J218" s="5" t="s">
        <v>846</v>
      </c>
      <c r="K218" s="5" t="s">
        <v>37</v>
      </c>
      <c r="L218" s="5" t="s">
        <v>23</v>
      </c>
      <c r="M218" s="5" t="s">
        <v>847</v>
      </c>
      <c r="N218" s="5" t="s">
        <v>494</v>
      </c>
      <c r="O218" s="5">
        <v>44256</v>
      </c>
      <c r="P218" s="5" t="s">
        <v>144</v>
      </c>
      <c r="Q218" s="5" t="s">
        <v>854</v>
      </c>
      <c r="R218" s="5" t="s">
        <v>67</v>
      </c>
      <c r="S218" s="5" t="s">
        <v>157</v>
      </c>
      <c r="T218" s="5" t="s">
        <v>855</v>
      </c>
      <c r="U218" s="7">
        <v>89.584000000000003</v>
      </c>
    </row>
    <row r="219" spans="1:21" x14ac:dyDescent="0.3">
      <c r="A219" s="8">
        <v>218</v>
      </c>
      <c r="B219" s="9" t="s">
        <v>856</v>
      </c>
      <c r="C219" s="10">
        <v>43036</v>
      </c>
      <c r="D219" s="6" t="str">
        <f t="shared" si="9"/>
        <v>Oct</v>
      </c>
      <c r="E219" s="12">
        <f t="shared" si="10"/>
        <v>2017</v>
      </c>
      <c r="F219" s="10">
        <v>43040</v>
      </c>
      <c r="G219" s="12">
        <f t="shared" si="11"/>
        <v>4</v>
      </c>
      <c r="H219" s="9" t="s">
        <v>46</v>
      </c>
      <c r="I219" s="9" t="s">
        <v>857</v>
      </c>
      <c r="J219" s="9" t="s">
        <v>858</v>
      </c>
      <c r="K219" s="9" t="s">
        <v>22</v>
      </c>
      <c r="L219" s="9" t="s">
        <v>23</v>
      </c>
      <c r="M219" s="9" t="s">
        <v>38</v>
      </c>
      <c r="N219" s="9" t="s">
        <v>39</v>
      </c>
      <c r="O219" s="9">
        <v>90032</v>
      </c>
      <c r="P219" s="9" t="s">
        <v>40</v>
      </c>
      <c r="Q219" s="9" t="s">
        <v>757</v>
      </c>
      <c r="R219" s="9" t="s">
        <v>42</v>
      </c>
      <c r="S219" s="9" t="s">
        <v>55</v>
      </c>
      <c r="T219" s="9" t="s">
        <v>758</v>
      </c>
      <c r="U219" s="11">
        <v>93.06</v>
      </c>
    </row>
    <row r="220" spans="1:21" x14ac:dyDescent="0.3">
      <c r="A220" s="4">
        <v>219</v>
      </c>
      <c r="B220" s="5" t="s">
        <v>856</v>
      </c>
      <c r="C220" s="6">
        <v>43036</v>
      </c>
      <c r="D220" s="6" t="str">
        <f t="shared" si="9"/>
        <v>Oct</v>
      </c>
      <c r="E220" s="12">
        <f t="shared" si="10"/>
        <v>2017</v>
      </c>
      <c r="F220" s="6">
        <v>43040</v>
      </c>
      <c r="G220" s="12">
        <f t="shared" si="11"/>
        <v>4</v>
      </c>
      <c r="H220" s="5" t="s">
        <v>46</v>
      </c>
      <c r="I220" s="5" t="s">
        <v>857</v>
      </c>
      <c r="J220" s="5" t="s">
        <v>858</v>
      </c>
      <c r="K220" s="5" t="s">
        <v>22</v>
      </c>
      <c r="L220" s="5" t="s">
        <v>23</v>
      </c>
      <c r="M220" s="5" t="s">
        <v>38</v>
      </c>
      <c r="N220" s="5" t="s">
        <v>39</v>
      </c>
      <c r="O220" s="5">
        <v>90032</v>
      </c>
      <c r="P220" s="5" t="s">
        <v>40</v>
      </c>
      <c r="Q220" s="5" t="s">
        <v>859</v>
      </c>
      <c r="R220" s="5" t="s">
        <v>67</v>
      </c>
      <c r="S220" s="5" t="s">
        <v>68</v>
      </c>
      <c r="T220" s="5" t="s">
        <v>860</v>
      </c>
      <c r="U220" s="7">
        <v>302.37599999999998</v>
      </c>
    </row>
    <row r="221" spans="1:21" x14ac:dyDescent="0.3">
      <c r="A221" s="8">
        <v>220</v>
      </c>
      <c r="B221" s="9" t="s">
        <v>861</v>
      </c>
      <c r="C221" s="10">
        <v>42728</v>
      </c>
      <c r="D221" s="6" t="str">
        <f t="shared" si="9"/>
        <v>Dec</v>
      </c>
      <c r="E221" s="12">
        <f t="shared" si="10"/>
        <v>2016</v>
      </c>
      <c r="F221" s="10">
        <v>42731</v>
      </c>
      <c r="G221" s="12">
        <f t="shared" si="11"/>
        <v>3</v>
      </c>
      <c r="H221" s="9" t="s">
        <v>184</v>
      </c>
      <c r="I221" s="9" t="s">
        <v>862</v>
      </c>
      <c r="J221" s="9" t="s">
        <v>863</v>
      </c>
      <c r="K221" s="9" t="s">
        <v>22</v>
      </c>
      <c r="L221" s="9" t="s">
        <v>23</v>
      </c>
      <c r="M221" s="9" t="s">
        <v>864</v>
      </c>
      <c r="N221" s="9" t="s">
        <v>494</v>
      </c>
      <c r="O221" s="9">
        <v>43017</v>
      </c>
      <c r="P221" s="9" t="s">
        <v>144</v>
      </c>
      <c r="Q221" s="9" t="s">
        <v>865</v>
      </c>
      <c r="R221" s="9" t="s">
        <v>42</v>
      </c>
      <c r="S221" s="9" t="s">
        <v>265</v>
      </c>
      <c r="T221" s="9" t="s">
        <v>866</v>
      </c>
      <c r="U221" s="11">
        <v>5.5839999999999996</v>
      </c>
    </row>
    <row r="222" spans="1:21" x14ac:dyDescent="0.3">
      <c r="A222" s="4">
        <v>221</v>
      </c>
      <c r="B222" s="5" t="s">
        <v>861</v>
      </c>
      <c r="C222" s="6">
        <v>42728</v>
      </c>
      <c r="D222" s="6" t="str">
        <f t="shared" si="9"/>
        <v>Dec</v>
      </c>
      <c r="E222" s="12">
        <f t="shared" si="10"/>
        <v>2016</v>
      </c>
      <c r="F222" s="6">
        <v>42731</v>
      </c>
      <c r="G222" s="12">
        <f t="shared" si="11"/>
        <v>3</v>
      </c>
      <c r="H222" s="5" t="s">
        <v>184</v>
      </c>
      <c r="I222" s="5" t="s">
        <v>862</v>
      </c>
      <c r="J222" s="5" t="s">
        <v>863</v>
      </c>
      <c r="K222" s="5" t="s">
        <v>22</v>
      </c>
      <c r="L222" s="5" t="s">
        <v>23</v>
      </c>
      <c r="M222" s="5" t="s">
        <v>864</v>
      </c>
      <c r="N222" s="5" t="s">
        <v>494</v>
      </c>
      <c r="O222" s="5">
        <v>43017</v>
      </c>
      <c r="P222" s="5" t="s">
        <v>144</v>
      </c>
      <c r="Q222" s="5" t="s">
        <v>867</v>
      </c>
      <c r="R222" s="5" t="s">
        <v>42</v>
      </c>
      <c r="S222" s="5" t="s">
        <v>86</v>
      </c>
      <c r="T222" s="5" t="s">
        <v>868</v>
      </c>
      <c r="U222" s="7">
        <v>22.704000000000001</v>
      </c>
    </row>
    <row r="223" spans="1:21" x14ac:dyDescent="0.3">
      <c r="A223" s="8">
        <v>222</v>
      </c>
      <c r="B223" s="9" t="s">
        <v>861</v>
      </c>
      <c r="C223" s="10">
        <v>42728</v>
      </c>
      <c r="D223" s="6" t="str">
        <f t="shared" si="9"/>
        <v>Dec</v>
      </c>
      <c r="E223" s="12">
        <f t="shared" si="10"/>
        <v>2016</v>
      </c>
      <c r="F223" s="10">
        <v>42731</v>
      </c>
      <c r="G223" s="12">
        <f t="shared" si="11"/>
        <v>3</v>
      </c>
      <c r="H223" s="9" t="s">
        <v>184</v>
      </c>
      <c r="I223" s="9" t="s">
        <v>862</v>
      </c>
      <c r="J223" s="9" t="s">
        <v>863</v>
      </c>
      <c r="K223" s="9" t="s">
        <v>22</v>
      </c>
      <c r="L223" s="9" t="s">
        <v>23</v>
      </c>
      <c r="M223" s="9" t="s">
        <v>864</v>
      </c>
      <c r="N223" s="9" t="s">
        <v>494</v>
      </c>
      <c r="O223" s="9">
        <v>43017</v>
      </c>
      <c r="P223" s="9" t="s">
        <v>144</v>
      </c>
      <c r="Q223" s="9" t="s">
        <v>410</v>
      </c>
      <c r="R223" s="9" t="s">
        <v>42</v>
      </c>
      <c r="S223" s="9" t="s">
        <v>71</v>
      </c>
      <c r="T223" s="9" t="s">
        <v>411</v>
      </c>
      <c r="U223" s="11">
        <v>19.776</v>
      </c>
    </row>
    <row r="224" spans="1:21" x14ac:dyDescent="0.3">
      <c r="A224" s="4">
        <v>223</v>
      </c>
      <c r="B224" s="5" t="s">
        <v>861</v>
      </c>
      <c r="C224" s="6">
        <v>42728</v>
      </c>
      <c r="D224" s="6" t="str">
        <f t="shared" si="9"/>
        <v>Dec</v>
      </c>
      <c r="E224" s="12">
        <f t="shared" si="10"/>
        <v>2016</v>
      </c>
      <c r="F224" s="6">
        <v>42731</v>
      </c>
      <c r="G224" s="12">
        <f t="shared" si="11"/>
        <v>3</v>
      </c>
      <c r="H224" s="5" t="s">
        <v>184</v>
      </c>
      <c r="I224" s="5" t="s">
        <v>862</v>
      </c>
      <c r="J224" s="5" t="s">
        <v>863</v>
      </c>
      <c r="K224" s="5" t="s">
        <v>22</v>
      </c>
      <c r="L224" s="5" t="s">
        <v>23</v>
      </c>
      <c r="M224" s="5" t="s">
        <v>864</v>
      </c>
      <c r="N224" s="5" t="s">
        <v>494</v>
      </c>
      <c r="O224" s="5">
        <v>43017</v>
      </c>
      <c r="P224" s="5" t="s">
        <v>144</v>
      </c>
      <c r="Q224" s="5" t="s">
        <v>869</v>
      </c>
      <c r="R224" s="5" t="s">
        <v>28</v>
      </c>
      <c r="S224" s="5" t="s">
        <v>61</v>
      </c>
      <c r="T224" s="5" t="s">
        <v>870</v>
      </c>
      <c r="U224" s="7">
        <v>72.703999999999994</v>
      </c>
    </row>
    <row r="225" spans="1:21" x14ac:dyDescent="0.3">
      <c r="A225" s="8">
        <v>224</v>
      </c>
      <c r="B225" s="9" t="s">
        <v>861</v>
      </c>
      <c r="C225" s="10">
        <v>42728</v>
      </c>
      <c r="D225" s="6" t="str">
        <f t="shared" si="9"/>
        <v>Dec</v>
      </c>
      <c r="E225" s="12">
        <f t="shared" si="10"/>
        <v>2016</v>
      </c>
      <c r="F225" s="10">
        <v>42731</v>
      </c>
      <c r="G225" s="12">
        <f t="shared" si="11"/>
        <v>3</v>
      </c>
      <c r="H225" s="9" t="s">
        <v>184</v>
      </c>
      <c r="I225" s="9" t="s">
        <v>862</v>
      </c>
      <c r="J225" s="9" t="s">
        <v>863</v>
      </c>
      <c r="K225" s="9" t="s">
        <v>22</v>
      </c>
      <c r="L225" s="9" t="s">
        <v>23</v>
      </c>
      <c r="M225" s="9" t="s">
        <v>864</v>
      </c>
      <c r="N225" s="9" t="s">
        <v>494</v>
      </c>
      <c r="O225" s="9">
        <v>43017</v>
      </c>
      <c r="P225" s="9" t="s">
        <v>144</v>
      </c>
      <c r="Q225" s="9" t="s">
        <v>871</v>
      </c>
      <c r="R225" s="9" t="s">
        <v>67</v>
      </c>
      <c r="S225" s="9" t="s">
        <v>680</v>
      </c>
      <c r="T225" s="9" t="s">
        <v>872</v>
      </c>
      <c r="U225" s="11">
        <v>479.988</v>
      </c>
    </row>
    <row r="226" spans="1:21" x14ac:dyDescent="0.3">
      <c r="A226" s="4">
        <v>225</v>
      </c>
      <c r="B226" s="5" t="s">
        <v>861</v>
      </c>
      <c r="C226" s="6">
        <v>42728</v>
      </c>
      <c r="D226" s="6" t="str">
        <f t="shared" si="9"/>
        <v>Dec</v>
      </c>
      <c r="E226" s="12">
        <f t="shared" si="10"/>
        <v>2016</v>
      </c>
      <c r="F226" s="6">
        <v>42731</v>
      </c>
      <c r="G226" s="12">
        <f t="shared" si="11"/>
        <v>3</v>
      </c>
      <c r="H226" s="5" t="s">
        <v>184</v>
      </c>
      <c r="I226" s="5" t="s">
        <v>862</v>
      </c>
      <c r="J226" s="5" t="s">
        <v>863</v>
      </c>
      <c r="K226" s="5" t="s">
        <v>22</v>
      </c>
      <c r="L226" s="5" t="s">
        <v>23</v>
      </c>
      <c r="M226" s="5" t="s">
        <v>864</v>
      </c>
      <c r="N226" s="5" t="s">
        <v>494</v>
      </c>
      <c r="O226" s="5">
        <v>43017</v>
      </c>
      <c r="P226" s="5" t="s">
        <v>144</v>
      </c>
      <c r="Q226" s="5" t="s">
        <v>873</v>
      </c>
      <c r="R226" s="5" t="s">
        <v>42</v>
      </c>
      <c r="S226" s="5" t="s">
        <v>64</v>
      </c>
      <c r="T226" s="5" t="s">
        <v>874</v>
      </c>
      <c r="U226" s="7">
        <v>27.167999999999999</v>
      </c>
    </row>
    <row r="227" spans="1:21" x14ac:dyDescent="0.3">
      <c r="A227" s="8">
        <v>226</v>
      </c>
      <c r="B227" s="9" t="s">
        <v>875</v>
      </c>
      <c r="C227" s="10">
        <v>42591</v>
      </c>
      <c r="D227" s="6" t="str">
        <f t="shared" si="9"/>
        <v>Aug</v>
      </c>
      <c r="E227" s="12">
        <f t="shared" si="10"/>
        <v>2016</v>
      </c>
      <c r="F227" s="10">
        <v>42598</v>
      </c>
      <c r="G227" s="12">
        <f t="shared" si="11"/>
        <v>7</v>
      </c>
      <c r="H227" s="9" t="s">
        <v>46</v>
      </c>
      <c r="I227" s="9" t="s">
        <v>876</v>
      </c>
      <c r="J227" s="9" t="s">
        <v>877</v>
      </c>
      <c r="K227" s="9" t="s">
        <v>37</v>
      </c>
      <c r="L227" s="9" t="s">
        <v>23</v>
      </c>
      <c r="M227" s="9" t="s">
        <v>878</v>
      </c>
      <c r="N227" s="9" t="s">
        <v>234</v>
      </c>
      <c r="O227" s="9">
        <v>48227</v>
      </c>
      <c r="P227" s="9" t="s">
        <v>101</v>
      </c>
      <c r="Q227" s="9" t="s">
        <v>879</v>
      </c>
      <c r="R227" s="9" t="s">
        <v>42</v>
      </c>
      <c r="S227" s="9" t="s">
        <v>64</v>
      </c>
      <c r="T227" s="9" t="s">
        <v>880</v>
      </c>
      <c r="U227" s="11">
        <v>2.2000000000000002</v>
      </c>
    </row>
    <row r="228" spans="1:21" x14ac:dyDescent="0.3">
      <c r="A228" s="4">
        <v>227</v>
      </c>
      <c r="B228" s="5" t="s">
        <v>875</v>
      </c>
      <c r="C228" s="6">
        <v>42591</v>
      </c>
      <c r="D228" s="6" t="str">
        <f t="shared" si="9"/>
        <v>Aug</v>
      </c>
      <c r="E228" s="12">
        <f t="shared" si="10"/>
        <v>2016</v>
      </c>
      <c r="F228" s="6">
        <v>42598</v>
      </c>
      <c r="G228" s="12">
        <f t="shared" si="11"/>
        <v>7</v>
      </c>
      <c r="H228" s="5" t="s">
        <v>46</v>
      </c>
      <c r="I228" s="5" t="s">
        <v>876</v>
      </c>
      <c r="J228" s="5" t="s">
        <v>877</v>
      </c>
      <c r="K228" s="5" t="s">
        <v>37</v>
      </c>
      <c r="L228" s="5" t="s">
        <v>23</v>
      </c>
      <c r="M228" s="5" t="s">
        <v>878</v>
      </c>
      <c r="N228" s="5" t="s">
        <v>234</v>
      </c>
      <c r="O228" s="5">
        <v>48227</v>
      </c>
      <c r="P228" s="5" t="s">
        <v>101</v>
      </c>
      <c r="Q228" s="5" t="s">
        <v>881</v>
      </c>
      <c r="R228" s="5" t="s">
        <v>28</v>
      </c>
      <c r="S228" s="5" t="s">
        <v>52</v>
      </c>
      <c r="T228" s="5" t="s">
        <v>882</v>
      </c>
      <c r="U228" s="7">
        <v>622.45000000000005</v>
      </c>
    </row>
    <row r="229" spans="1:21" x14ac:dyDescent="0.3">
      <c r="A229" s="8">
        <v>228</v>
      </c>
      <c r="B229" s="9" t="s">
        <v>875</v>
      </c>
      <c r="C229" s="10">
        <v>42591</v>
      </c>
      <c r="D229" s="6" t="str">
        <f t="shared" si="9"/>
        <v>Aug</v>
      </c>
      <c r="E229" s="12">
        <f t="shared" si="10"/>
        <v>2016</v>
      </c>
      <c r="F229" s="10">
        <v>42598</v>
      </c>
      <c r="G229" s="12">
        <f t="shared" si="11"/>
        <v>7</v>
      </c>
      <c r="H229" s="9" t="s">
        <v>46</v>
      </c>
      <c r="I229" s="9" t="s">
        <v>876</v>
      </c>
      <c r="J229" s="9" t="s">
        <v>877</v>
      </c>
      <c r="K229" s="9" t="s">
        <v>37</v>
      </c>
      <c r="L229" s="9" t="s">
        <v>23</v>
      </c>
      <c r="M229" s="9" t="s">
        <v>878</v>
      </c>
      <c r="N229" s="9" t="s">
        <v>234</v>
      </c>
      <c r="O229" s="9">
        <v>48227</v>
      </c>
      <c r="P229" s="9" t="s">
        <v>101</v>
      </c>
      <c r="Q229" s="9" t="s">
        <v>883</v>
      </c>
      <c r="R229" s="9" t="s">
        <v>42</v>
      </c>
      <c r="S229" s="9" t="s">
        <v>55</v>
      </c>
      <c r="T229" s="9" t="s">
        <v>884</v>
      </c>
      <c r="U229" s="11">
        <v>21.98</v>
      </c>
    </row>
    <row r="230" spans="1:21" x14ac:dyDescent="0.3">
      <c r="A230" s="4">
        <v>229</v>
      </c>
      <c r="B230" s="5" t="s">
        <v>885</v>
      </c>
      <c r="C230" s="6">
        <v>42428</v>
      </c>
      <c r="D230" s="6" t="str">
        <f t="shared" si="9"/>
        <v>Feb</v>
      </c>
      <c r="E230" s="12">
        <f t="shared" si="10"/>
        <v>2016</v>
      </c>
      <c r="F230" s="6">
        <v>42433</v>
      </c>
      <c r="G230" s="12">
        <f t="shared" si="11"/>
        <v>5</v>
      </c>
      <c r="H230" s="5" t="s">
        <v>46</v>
      </c>
      <c r="I230" s="5" t="s">
        <v>886</v>
      </c>
      <c r="J230" s="5" t="s">
        <v>887</v>
      </c>
      <c r="K230" s="5" t="s">
        <v>22</v>
      </c>
      <c r="L230" s="5" t="s">
        <v>23</v>
      </c>
      <c r="M230" s="5" t="s">
        <v>378</v>
      </c>
      <c r="N230" s="5" t="s">
        <v>331</v>
      </c>
      <c r="O230" s="5">
        <v>38401</v>
      </c>
      <c r="P230" s="5" t="s">
        <v>26</v>
      </c>
      <c r="Q230" s="5" t="s">
        <v>888</v>
      </c>
      <c r="R230" s="5" t="s">
        <v>28</v>
      </c>
      <c r="S230" s="5" t="s">
        <v>32</v>
      </c>
      <c r="T230" s="5" t="s">
        <v>889</v>
      </c>
      <c r="U230" s="7">
        <v>161.56800000000001</v>
      </c>
    </row>
    <row r="231" spans="1:21" x14ac:dyDescent="0.3">
      <c r="A231" s="8">
        <v>230</v>
      </c>
      <c r="B231" s="9" t="s">
        <v>885</v>
      </c>
      <c r="C231" s="10">
        <v>42428</v>
      </c>
      <c r="D231" s="6" t="str">
        <f t="shared" si="9"/>
        <v>Feb</v>
      </c>
      <c r="E231" s="12">
        <f t="shared" si="10"/>
        <v>2016</v>
      </c>
      <c r="F231" s="10">
        <v>42433</v>
      </c>
      <c r="G231" s="12">
        <f t="shared" si="11"/>
        <v>5</v>
      </c>
      <c r="H231" s="9" t="s">
        <v>46</v>
      </c>
      <c r="I231" s="9" t="s">
        <v>886</v>
      </c>
      <c r="J231" s="9" t="s">
        <v>887</v>
      </c>
      <c r="K231" s="9" t="s">
        <v>22</v>
      </c>
      <c r="L231" s="9" t="s">
        <v>23</v>
      </c>
      <c r="M231" s="9" t="s">
        <v>378</v>
      </c>
      <c r="N231" s="9" t="s">
        <v>331</v>
      </c>
      <c r="O231" s="9">
        <v>38401</v>
      </c>
      <c r="P231" s="9" t="s">
        <v>26</v>
      </c>
      <c r="Q231" s="9" t="s">
        <v>890</v>
      </c>
      <c r="R231" s="9" t="s">
        <v>28</v>
      </c>
      <c r="S231" s="9" t="s">
        <v>32</v>
      </c>
      <c r="T231" s="9" t="s">
        <v>891</v>
      </c>
      <c r="U231" s="11">
        <v>389.69600000000003</v>
      </c>
    </row>
    <row r="232" spans="1:21" x14ac:dyDescent="0.3">
      <c r="A232" s="4">
        <v>231</v>
      </c>
      <c r="B232" s="5" t="s">
        <v>892</v>
      </c>
      <c r="C232" s="6">
        <v>42260</v>
      </c>
      <c r="D232" s="6" t="str">
        <f t="shared" si="9"/>
        <v>Sep</v>
      </c>
      <c r="E232" s="12">
        <f t="shared" si="10"/>
        <v>2015</v>
      </c>
      <c r="F232" s="6">
        <v>42264</v>
      </c>
      <c r="G232" s="12">
        <f t="shared" si="11"/>
        <v>4</v>
      </c>
      <c r="H232" s="5" t="s">
        <v>46</v>
      </c>
      <c r="I232" s="5" t="s">
        <v>893</v>
      </c>
      <c r="J232" s="5" t="s">
        <v>894</v>
      </c>
      <c r="K232" s="5" t="s">
        <v>37</v>
      </c>
      <c r="L232" s="5" t="s">
        <v>23</v>
      </c>
      <c r="M232" s="5" t="s">
        <v>463</v>
      </c>
      <c r="N232" s="5" t="s">
        <v>84</v>
      </c>
      <c r="O232" s="5">
        <v>28205</v>
      </c>
      <c r="P232" s="5" t="s">
        <v>26</v>
      </c>
      <c r="Q232" s="5" t="s">
        <v>895</v>
      </c>
      <c r="R232" s="5" t="s">
        <v>42</v>
      </c>
      <c r="S232" s="5" t="s">
        <v>71</v>
      </c>
      <c r="T232" s="5" t="s">
        <v>896</v>
      </c>
      <c r="U232" s="7">
        <v>18.648</v>
      </c>
    </row>
    <row r="233" spans="1:21" x14ac:dyDescent="0.3">
      <c r="A233" s="8">
        <v>232</v>
      </c>
      <c r="B233" s="9" t="s">
        <v>897</v>
      </c>
      <c r="C233" s="10">
        <v>43197</v>
      </c>
      <c r="D233" s="6" t="str">
        <f t="shared" si="9"/>
        <v>Apr</v>
      </c>
      <c r="E233" s="12">
        <f t="shared" si="10"/>
        <v>2018</v>
      </c>
      <c r="F233" s="10">
        <v>43202</v>
      </c>
      <c r="G233" s="12">
        <f t="shared" si="11"/>
        <v>5</v>
      </c>
      <c r="H233" s="9" t="s">
        <v>46</v>
      </c>
      <c r="I233" s="9" t="s">
        <v>373</v>
      </c>
      <c r="J233" s="9" t="s">
        <v>374</v>
      </c>
      <c r="K233" s="9" t="s">
        <v>98</v>
      </c>
      <c r="L233" s="9" t="s">
        <v>23</v>
      </c>
      <c r="M233" s="9" t="s">
        <v>898</v>
      </c>
      <c r="N233" s="9" t="s">
        <v>50</v>
      </c>
      <c r="O233" s="9">
        <v>33614</v>
      </c>
      <c r="P233" s="9" t="s">
        <v>26</v>
      </c>
      <c r="Q233" s="9" t="s">
        <v>899</v>
      </c>
      <c r="R233" s="9" t="s">
        <v>28</v>
      </c>
      <c r="S233" s="9" t="s">
        <v>52</v>
      </c>
      <c r="T233" s="9" t="s">
        <v>900</v>
      </c>
      <c r="U233" s="11">
        <v>233.86</v>
      </c>
    </row>
    <row r="234" spans="1:21" x14ac:dyDescent="0.3">
      <c r="A234" s="4">
        <v>233</v>
      </c>
      <c r="B234" s="5" t="s">
        <v>897</v>
      </c>
      <c r="C234" s="6">
        <v>43197</v>
      </c>
      <c r="D234" s="6" t="str">
        <f t="shared" si="9"/>
        <v>Apr</v>
      </c>
      <c r="E234" s="12">
        <f t="shared" si="10"/>
        <v>2018</v>
      </c>
      <c r="F234" s="6">
        <v>43202</v>
      </c>
      <c r="G234" s="12">
        <f t="shared" si="11"/>
        <v>5</v>
      </c>
      <c r="H234" s="5" t="s">
        <v>46</v>
      </c>
      <c r="I234" s="5" t="s">
        <v>373</v>
      </c>
      <c r="J234" s="5" t="s">
        <v>374</v>
      </c>
      <c r="K234" s="5" t="s">
        <v>98</v>
      </c>
      <c r="L234" s="5" t="s">
        <v>23</v>
      </c>
      <c r="M234" s="5" t="s">
        <v>898</v>
      </c>
      <c r="N234" s="5" t="s">
        <v>50</v>
      </c>
      <c r="O234" s="5">
        <v>33614</v>
      </c>
      <c r="P234" s="5" t="s">
        <v>26</v>
      </c>
      <c r="Q234" s="5" t="s">
        <v>901</v>
      </c>
      <c r="R234" s="5" t="s">
        <v>28</v>
      </c>
      <c r="S234" s="5" t="s">
        <v>52</v>
      </c>
      <c r="T234" s="5" t="s">
        <v>902</v>
      </c>
      <c r="U234" s="7">
        <v>620.61450000000002</v>
      </c>
    </row>
    <row r="235" spans="1:21" x14ac:dyDescent="0.3">
      <c r="A235" s="8">
        <v>234</v>
      </c>
      <c r="B235" s="9" t="s">
        <v>897</v>
      </c>
      <c r="C235" s="10">
        <v>43197</v>
      </c>
      <c r="D235" s="6" t="str">
        <f t="shared" si="9"/>
        <v>Apr</v>
      </c>
      <c r="E235" s="12">
        <f t="shared" si="10"/>
        <v>2018</v>
      </c>
      <c r="F235" s="10">
        <v>43202</v>
      </c>
      <c r="G235" s="12">
        <f t="shared" si="11"/>
        <v>5</v>
      </c>
      <c r="H235" s="9" t="s">
        <v>46</v>
      </c>
      <c r="I235" s="9" t="s">
        <v>373</v>
      </c>
      <c r="J235" s="9" t="s">
        <v>374</v>
      </c>
      <c r="K235" s="9" t="s">
        <v>98</v>
      </c>
      <c r="L235" s="9" t="s">
        <v>23</v>
      </c>
      <c r="M235" s="9" t="s">
        <v>898</v>
      </c>
      <c r="N235" s="9" t="s">
        <v>50</v>
      </c>
      <c r="O235" s="9">
        <v>33614</v>
      </c>
      <c r="P235" s="9" t="s">
        <v>26</v>
      </c>
      <c r="Q235" s="9" t="s">
        <v>895</v>
      </c>
      <c r="R235" s="9" t="s">
        <v>42</v>
      </c>
      <c r="S235" s="9" t="s">
        <v>71</v>
      </c>
      <c r="T235" s="9" t="s">
        <v>896</v>
      </c>
      <c r="U235" s="11">
        <v>5.3280000000000003</v>
      </c>
    </row>
    <row r="236" spans="1:21" x14ac:dyDescent="0.3">
      <c r="A236" s="4">
        <v>235</v>
      </c>
      <c r="B236" s="5" t="s">
        <v>897</v>
      </c>
      <c r="C236" s="6">
        <v>43197</v>
      </c>
      <c r="D236" s="6" t="str">
        <f t="shared" si="9"/>
        <v>Apr</v>
      </c>
      <c r="E236" s="12">
        <f t="shared" si="10"/>
        <v>2018</v>
      </c>
      <c r="F236" s="6">
        <v>43202</v>
      </c>
      <c r="G236" s="12">
        <f t="shared" si="11"/>
        <v>5</v>
      </c>
      <c r="H236" s="5" t="s">
        <v>46</v>
      </c>
      <c r="I236" s="5" t="s">
        <v>373</v>
      </c>
      <c r="J236" s="5" t="s">
        <v>374</v>
      </c>
      <c r="K236" s="5" t="s">
        <v>98</v>
      </c>
      <c r="L236" s="5" t="s">
        <v>23</v>
      </c>
      <c r="M236" s="5" t="s">
        <v>898</v>
      </c>
      <c r="N236" s="5" t="s">
        <v>50</v>
      </c>
      <c r="O236" s="5">
        <v>33614</v>
      </c>
      <c r="P236" s="5" t="s">
        <v>26</v>
      </c>
      <c r="Q236" s="5" t="s">
        <v>903</v>
      </c>
      <c r="R236" s="5" t="s">
        <v>28</v>
      </c>
      <c r="S236" s="5" t="s">
        <v>61</v>
      </c>
      <c r="T236" s="5" t="s">
        <v>904</v>
      </c>
      <c r="U236" s="7">
        <v>258.072</v>
      </c>
    </row>
    <row r="237" spans="1:21" x14ac:dyDescent="0.3">
      <c r="A237" s="8">
        <v>236</v>
      </c>
      <c r="B237" s="9" t="s">
        <v>897</v>
      </c>
      <c r="C237" s="10">
        <v>43197</v>
      </c>
      <c r="D237" s="6" t="str">
        <f t="shared" si="9"/>
        <v>Apr</v>
      </c>
      <c r="E237" s="12">
        <f t="shared" si="10"/>
        <v>2018</v>
      </c>
      <c r="F237" s="10">
        <v>43202</v>
      </c>
      <c r="G237" s="12">
        <f t="shared" si="11"/>
        <v>5</v>
      </c>
      <c r="H237" s="9" t="s">
        <v>46</v>
      </c>
      <c r="I237" s="9" t="s">
        <v>373</v>
      </c>
      <c r="J237" s="9" t="s">
        <v>374</v>
      </c>
      <c r="K237" s="9" t="s">
        <v>98</v>
      </c>
      <c r="L237" s="9" t="s">
        <v>23</v>
      </c>
      <c r="M237" s="9" t="s">
        <v>898</v>
      </c>
      <c r="N237" s="9" t="s">
        <v>50</v>
      </c>
      <c r="O237" s="9">
        <v>33614</v>
      </c>
      <c r="P237" s="9" t="s">
        <v>26</v>
      </c>
      <c r="Q237" s="9" t="s">
        <v>905</v>
      </c>
      <c r="R237" s="9" t="s">
        <v>67</v>
      </c>
      <c r="S237" s="9" t="s">
        <v>157</v>
      </c>
      <c r="T237" s="9" t="s">
        <v>906</v>
      </c>
      <c r="U237" s="11">
        <v>617.976</v>
      </c>
    </row>
    <row r="238" spans="1:21" x14ac:dyDescent="0.3">
      <c r="A238" s="4">
        <v>237</v>
      </c>
      <c r="B238" s="5" t="s">
        <v>907</v>
      </c>
      <c r="C238" s="6">
        <v>43416</v>
      </c>
      <c r="D238" s="6" t="str">
        <f t="shared" si="9"/>
        <v>Nov</v>
      </c>
      <c r="E238" s="12">
        <f t="shared" si="10"/>
        <v>2018</v>
      </c>
      <c r="F238" s="6">
        <v>43420</v>
      </c>
      <c r="G238" s="12">
        <f t="shared" si="11"/>
        <v>4</v>
      </c>
      <c r="H238" s="5" t="s">
        <v>46</v>
      </c>
      <c r="I238" s="5" t="s">
        <v>908</v>
      </c>
      <c r="J238" s="5" t="s">
        <v>909</v>
      </c>
      <c r="K238" s="5" t="s">
        <v>37</v>
      </c>
      <c r="L238" s="5" t="s">
        <v>23</v>
      </c>
      <c r="M238" s="5" t="s">
        <v>910</v>
      </c>
      <c r="N238" s="5" t="s">
        <v>39</v>
      </c>
      <c r="O238" s="5">
        <v>95051</v>
      </c>
      <c r="P238" s="5" t="s">
        <v>40</v>
      </c>
      <c r="Q238" s="5" t="s">
        <v>911</v>
      </c>
      <c r="R238" s="5" t="s">
        <v>42</v>
      </c>
      <c r="S238" s="5" t="s">
        <v>86</v>
      </c>
      <c r="T238" s="5" t="s">
        <v>912</v>
      </c>
      <c r="U238" s="7">
        <v>10.56</v>
      </c>
    </row>
    <row r="239" spans="1:21" x14ac:dyDescent="0.3">
      <c r="A239" s="8">
        <v>238</v>
      </c>
      <c r="B239" s="9" t="s">
        <v>913</v>
      </c>
      <c r="C239" s="10">
        <v>42890</v>
      </c>
      <c r="D239" s="6" t="str">
        <f t="shared" si="9"/>
        <v>Jun</v>
      </c>
      <c r="E239" s="12">
        <f t="shared" si="10"/>
        <v>2017</v>
      </c>
      <c r="F239" s="10">
        <v>42895</v>
      </c>
      <c r="G239" s="12">
        <f t="shared" si="11"/>
        <v>5</v>
      </c>
      <c r="H239" s="9" t="s">
        <v>19</v>
      </c>
      <c r="I239" s="9" t="s">
        <v>914</v>
      </c>
      <c r="J239" s="9" t="s">
        <v>915</v>
      </c>
      <c r="K239" s="9" t="s">
        <v>22</v>
      </c>
      <c r="L239" s="9" t="s">
        <v>23</v>
      </c>
      <c r="M239" s="9" t="s">
        <v>299</v>
      </c>
      <c r="N239" s="9" t="s">
        <v>207</v>
      </c>
      <c r="O239" s="9">
        <v>60610</v>
      </c>
      <c r="P239" s="9" t="s">
        <v>101</v>
      </c>
      <c r="Q239" s="9" t="s">
        <v>916</v>
      </c>
      <c r="R239" s="9" t="s">
        <v>42</v>
      </c>
      <c r="S239" s="9" t="s">
        <v>86</v>
      </c>
      <c r="T239" s="9" t="s">
        <v>917</v>
      </c>
      <c r="U239" s="11">
        <v>25.92</v>
      </c>
    </row>
    <row r="240" spans="1:21" x14ac:dyDescent="0.3">
      <c r="A240" s="4">
        <v>239</v>
      </c>
      <c r="B240" s="5" t="s">
        <v>913</v>
      </c>
      <c r="C240" s="6">
        <v>42890</v>
      </c>
      <c r="D240" s="6" t="str">
        <f t="shared" si="9"/>
        <v>Jun</v>
      </c>
      <c r="E240" s="12">
        <f t="shared" si="10"/>
        <v>2017</v>
      </c>
      <c r="F240" s="6">
        <v>42895</v>
      </c>
      <c r="G240" s="12">
        <f t="shared" si="11"/>
        <v>5</v>
      </c>
      <c r="H240" s="5" t="s">
        <v>19</v>
      </c>
      <c r="I240" s="5" t="s">
        <v>914</v>
      </c>
      <c r="J240" s="5" t="s">
        <v>915</v>
      </c>
      <c r="K240" s="5" t="s">
        <v>22</v>
      </c>
      <c r="L240" s="5" t="s">
        <v>23</v>
      </c>
      <c r="M240" s="5" t="s">
        <v>299</v>
      </c>
      <c r="N240" s="5" t="s">
        <v>207</v>
      </c>
      <c r="O240" s="5">
        <v>60610</v>
      </c>
      <c r="P240" s="5" t="s">
        <v>101</v>
      </c>
      <c r="Q240" s="5" t="s">
        <v>918</v>
      </c>
      <c r="R240" s="5" t="s">
        <v>28</v>
      </c>
      <c r="S240" s="5" t="s">
        <v>61</v>
      </c>
      <c r="T240" s="5" t="s">
        <v>919</v>
      </c>
      <c r="U240" s="7">
        <v>419.68</v>
      </c>
    </row>
    <row r="241" spans="1:21" x14ac:dyDescent="0.3">
      <c r="A241" s="8">
        <v>240</v>
      </c>
      <c r="B241" s="9" t="s">
        <v>913</v>
      </c>
      <c r="C241" s="10">
        <v>42890</v>
      </c>
      <c r="D241" s="6" t="str">
        <f t="shared" si="9"/>
        <v>Jun</v>
      </c>
      <c r="E241" s="12">
        <f t="shared" si="10"/>
        <v>2017</v>
      </c>
      <c r="F241" s="10">
        <v>42895</v>
      </c>
      <c r="G241" s="12">
        <f t="shared" si="11"/>
        <v>5</v>
      </c>
      <c r="H241" s="9" t="s">
        <v>19</v>
      </c>
      <c r="I241" s="9" t="s">
        <v>914</v>
      </c>
      <c r="J241" s="9" t="s">
        <v>915</v>
      </c>
      <c r="K241" s="9" t="s">
        <v>22</v>
      </c>
      <c r="L241" s="9" t="s">
        <v>23</v>
      </c>
      <c r="M241" s="9" t="s">
        <v>299</v>
      </c>
      <c r="N241" s="9" t="s">
        <v>207</v>
      </c>
      <c r="O241" s="9">
        <v>60610</v>
      </c>
      <c r="P241" s="9" t="s">
        <v>101</v>
      </c>
      <c r="Q241" s="9" t="s">
        <v>920</v>
      </c>
      <c r="R241" s="9" t="s">
        <v>28</v>
      </c>
      <c r="S241" s="9" t="s">
        <v>61</v>
      </c>
      <c r="T241" s="9" t="s">
        <v>921</v>
      </c>
      <c r="U241" s="11">
        <v>11.688000000000001</v>
      </c>
    </row>
    <row r="242" spans="1:21" x14ac:dyDescent="0.3">
      <c r="A242" s="4">
        <v>241</v>
      </c>
      <c r="B242" s="5" t="s">
        <v>913</v>
      </c>
      <c r="C242" s="6">
        <v>42890</v>
      </c>
      <c r="D242" s="6" t="str">
        <f t="shared" si="9"/>
        <v>Jun</v>
      </c>
      <c r="E242" s="12">
        <f t="shared" si="10"/>
        <v>2017</v>
      </c>
      <c r="F242" s="6">
        <v>42895</v>
      </c>
      <c r="G242" s="12">
        <f t="shared" si="11"/>
        <v>5</v>
      </c>
      <c r="H242" s="5" t="s">
        <v>19</v>
      </c>
      <c r="I242" s="5" t="s">
        <v>914</v>
      </c>
      <c r="J242" s="5" t="s">
        <v>915</v>
      </c>
      <c r="K242" s="5" t="s">
        <v>22</v>
      </c>
      <c r="L242" s="5" t="s">
        <v>23</v>
      </c>
      <c r="M242" s="5" t="s">
        <v>299</v>
      </c>
      <c r="N242" s="5" t="s">
        <v>207</v>
      </c>
      <c r="O242" s="5">
        <v>60610</v>
      </c>
      <c r="P242" s="5" t="s">
        <v>101</v>
      </c>
      <c r="Q242" s="5" t="s">
        <v>922</v>
      </c>
      <c r="R242" s="5" t="s">
        <v>67</v>
      </c>
      <c r="S242" s="5" t="s">
        <v>68</v>
      </c>
      <c r="T242" s="5" t="s">
        <v>923</v>
      </c>
      <c r="U242" s="7">
        <v>31.984000000000002</v>
      </c>
    </row>
    <row r="243" spans="1:21" x14ac:dyDescent="0.3">
      <c r="A243" s="8">
        <v>242</v>
      </c>
      <c r="B243" s="9" t="s">
        <v>913</v>
      </c>
      <c r="C243" s="10">
        <v>42890</v>
      </c>
      <c r="D243" s="6" t="str">
        <f t="shared" si="9"/>
        <v>Jun</v>
      </c>
      <c r="E243" s="12">
        <f t="shared" si="10"/>
        <v>2017</v>
      </c>
      <c r="F243" s="10">
        <v>42895</v>
      </c>
      <c r="G243" s="12">
        <f t="shared" si="11"/>
        <v>5</v>
      </c>
      <c r="H243" s="9" t="s">
        <v>19</v>
      </c>
      <c r="I243" s="9" t="s">
        <v>914</v>
      </c>
      <c r="J243" s="9" t="s">
        <v>915</v>
      </c>
      <c r="K243" s="9" t="s">
        <v>22</v>
      </c>
      <c r="L243" s="9" t="s">
        <v>23</v>
      </c>
      <c r="M243" s="9" t="s">
        <v>299</v>
      </c>
      <c r="N243" s="9" t="s">
        <v>207</v>
      </c>
      <c r="O243" s="9">
        <v>60610</v>
      </c>
      <c r="P243" s="9" t="s">
        <v>101</v>
      </c>
      <c r="Q243" s="9" t="s">
        <v>924</v>
      </c>
      <c r="R243" s="9" t="s">
        <v>28</v>
      </c>
      <c r="S243" s="9" t="s">
        <v>52</v>
      </c>
      <c r="T243" s="9" t="s">
        <v>925</v>
      </c>
      <c r="U243" s="11">
        <v>177.22499999999999</v>
      </c>
    </row>
    <row r="244" spans="1:21" x14ac:dyDescent="0.3">
      <c r="A244" s="4">
        <v>243</v>
      </c>
      <c r="B244" s="5" t="s">
        <v>913</v>
      </c>
      <c r="C244" s="6">
        <v>42890</v>
      </c>
      <c r="D244" s="6" t="str">
        <f t="shared" si="9"/>
        <v>Jun</v>
      </c>
      <c r="E244" s="12">
        <f t="shared" si="10"/>
        <v>2017</v>
      </c>
      <c r="F244" s="6">
        <v>42895</v>
      </c>
      <c r="G244" s="12">
        <f t="shared" si="11"/>
        <v>5</v>
      </c>
      <c r="H244" s="5" t="s">
        <v>19</v>
      </c>
      <c r="I244" s="5" t="s">
        <v>914</v>
      </c>
      <c r="J244" s="5" t="s">
        <v>915</v>
      </c>
      <c r="K244" s="5" t="s">
        <v>22</v>
      </c>
      <c r="L244" s="5" t="s">
        <v>23</v>
      </c>
      <c r="M244" s="5" t="s">
        <v>299</v>
      </c>
      <c r="N244" s="5" t="s">
        <v>207</v>
      </c>
      <c r="O244" s="5">
        <v>60610</v>
      </c>
      <c r="P244" s="5" t="s">
        <v>101</v>
      </c>
      <c r="Q244" s="5" t="s">
        <v>926</v>
      </c>
      <c r="R244" s="5" t="s">
        <v>28</v>
      </c>
      <c r="S244" s="5" t="s">
        <v>61</v>
      </c>
      <c r="T244" s="5" t="s">
        <v>927</v>
      </c>
      <c r="U244" s="7">
        <v>4.0439999999999996</v>
      </c>
    </row>
    <row r="245" spans="1:21" x14ac:dyDescent="0.3">
      <c r="A245" s="8">
        <v>244</v>
      </c>
      <c r="B245" s="9" t="s">
        <v>913</v>
      </c>
      <c r="C245" s="10">
        <v>42890</v>
      </c>
      <c r="D245" s="6" t="str">
        <f t="shared" si="9"/>
        <v>Jun</v>
      </c>
      <c r="E245" s="12">
        <f t="shared" si="10"/>
        <v>2017</v>
      </c>
      <c r="F245" s="10">
        <v>42895</v>
      </c>
      <c r="G245" s="12">
        <f t="shared" si="11"/>
        <v>5</v>
      </c>
      <c r="H245" s="9" t="s">
        <v>19</v>
      </c>
      <c r="I245" s="9" t="s">
        <v>914</v>
      </c>
      <c r="J245" s="9" t="s">
        <v>915</v>
      </c>
      <c r="K245" s="9" t="s">
        <v>22</v>
      </c>
      <c r="L245" s="9" t="s">
        <v>23</v>
      </c>
      <c r="M245" s="9" t="s">
        <v>299</v>
      </c>
      <c r="N245" s="9" t="s">
        <v>207</v>
      </c>
      <c r="O245" s="9">
        <v>60610</v>
      </c>
      <c r="P245" s="9" t="s">
        <v>101</v>
      </c>
      <c r="Q245" s="9" t="s">
        <v>778</v>
      </c>
      <c r="R245" s="9" t="s">
        <v>42</v>
      </c>
      <c r="S245" s="9" t="s">
        <v>64</v>
      </c>
      <c r="T245" s="9" t="s">
        <v>779</v>
      </c>
      <c r="U245" s="11">
        <v>7.4080000000000004</v>
      </c>
    </row>
    <row r="246" spans="1:21" x14ac:dyDescent="0.3">
      <c r="A246" s="4">
        <v>245</v>
      </c>
      <c r="B246" s="5" t="s">
        <v>928</v>
      </c>
      <c r="C246" s="6">
        <v>42156</v>
      </c>
      <c r="D246" s="6" t="str">
        <f t="shared" si="9"/>
        <v>Jun</v>
      </c>
      <c r="E246" s="12">
        <f t="shared" si="10"/>
        <v>2015</v>
      </c>
      <c r="F246" s="6">
        <v>42161</v>
      </c>
      <c r="G246" s="12">
        <f t="shared" si="11"/>
        <v>5</v>
      </c>
      <c r="H246" s="5" t="s">
        <v>19</v>
      </c>
      <c r="I246" s="5" t="s">
        <v>929</v>
      </c>
      <c r="J246" s="5" t="s">
        <v>930</v>
      </c>
      <c r="K246" s="5" t="s">
        <v>98</v>
      </c>
      <c r="L246" s="5" t="s">
        <v>23</v>
      </c>
      <c r="M246" s="5" t="s">
        <v>931</v>
      </c>
      <c r="N246" s="5" t="s">
        <v>225</v>
      </c>
      <c r="O246" s="5">
        <v>55044</v>
      </c>
      <c r="P246" s="5" t="s">
        <v>101</v>
      </c>
      <c r="Q246" s="5" t="s">
        <v>529</v>
      </c>
      <c r="R246" s="5" t="s">
        <v>28</v>
      </c>
      <c r="S246" s="5" t="s">
        <v>32</v>
      </c>
      <c r="T246" s="5" t="s">
        <v>530</v>
      </c>
      <c r="U246" s="7">
        <v>2001.86</v>
      </c>
    </row>
    <row r="247" spans="1:21" x14ac:dyDescent="0.3">
      <c r="A247" s="8">
        <v>246</v>
      </c>
      <c r="B247" s="9" t="s">
        <v>928</v>
      </c>
      <c r="C247" s="10">
        <v>42156</v>
      </c>
      <c r="D247" s="6" t="str">
        <f t="shared" si="9"/>
        <v>Jun</v>
      </c>
      <c r="E247" s="12">
        <f t="shared" si="10"/>
        <v>2015</v>
      </c>
      <c r="F247" s="10">
        <v>42161</v>
      </c>
      <c r="G247" s="12">
        <f t="shared" si="11"/>
        <v>5</v>
      </c>
      <c r="H247" s="9" t="s">
        <v>19</v>
      </c>
      <c r="I247" s="9" t="s">
        <v>929</v>
      </c>
      <c r="J247" s="9" t="s">
        <v>930</v>
      </c>
      <c r="K247" s="9" t="s">
        <v>98</v>
      </c>
      <c r="L247" s="9" t="s">
        <v>23</v>
      </c>
      <c r="M247" s="9" t="s">
        <v>931</v>
      </c>
      <c r="N247" s="9" t="s">
        <v>225</v>
      </c>
      <c r="O247" s="9">
        <v>55044</v>
      </c>
      <c r="P247" s="9" t="s">
        <v>101</v>
      </c>
      <c r="Q247" s="9" t="s">
        <v>932</v>
      </c>
      <c r="R247" s="9" t="s">
        <v>42</v>
      </c>
      <c r="S247" s="9" t="s">
        <v>55</v>
      </c>
      <c r="T247" s="9" t="s">
        <v>933</v>
      </c>
      <c r="U247" s="11">
        <v>166.72</v>
      </c>
    </row>
    <row r="248" spans="1:21" x14ac:dyDescent="0.3">
      <c r="A248" s="4">
        <v>247</v>
      </c>
      <c r="B248" s="5" t="s">
        <v>928</v>
      </c>
      <c r="C248" s="6">
        <v>42156</v>
      </c>
      <c r="D248" s="6" t="str">
        <f t="shared" si="9"/>
        <v>Jun</v>
      </c>
      <c r="E248" s="12">
        <f t="shared" si="10"/>
        <v>2015</v>
      </c>
      <c r="F248" s="6">
        <v>42161</v>
      </c>
      <c r="G248" s="12">
        <f t="shared" si="11"/>
        <v>5</v>
      </c>
      <c r="H248" s="5" t="s">
        <v>19</v>
      </c>
      <c r="I248" s="5" t="s">
        <v>929</v>
      </c>
      <c r="J248" s="5" t="s">
        <v>930</v>
      </c>
      <c r="K248" s="5" t="s">
        <v>98</v>
      </c>
      <c r="L248" s="5" t="s">
        <v>23</v>
      </c>
      <c r="M248" s="5" t="s">
        <v>931</v>
      </c>
      <c r="N248" s="5" t="s">
        <v>225</v>
      </c>
      <c r="O248" s="5">
        <v>55044</v>
      </c>
      <c r="P248" s="5" t="s">
        <v>101</v>
      </c>
      <c r="Q248" s="5" t="s">
        <v>934</v>
      </c>
      <c r="R248" s="5" t="s">
        <v>42</v>
      </c>
      <c r="S248" s="5" t="s">
        <v>86</v>
      </c>
      <c r="T248" s="5" t="s">
        <v>935</v>
      </c>
      <c r="U248" s="7">
        <v>47.88</v>
      </c>
    </row>
    <row r="249" spans="1:21" x14ac:dyDescent="0.3">
      <c r="A249" s="8">
        <v>248</v>
      </c>
      <c r="B249" s="9" t="s">
        <v>928</v>
      </c>
      <c r="C249" s="10">
        <v>42156</v>
      </c>
      <c r="D249" s="6" t="str">
        <f t="shared" si="9"/>
        <v>Jun</v>
      </c>
      <c r="E249" s="12">
        <f t="shared" si="10"/>
        <v>2015</v>
      </c>
      <c r="F249" s="10">
        <v>42161</v>
      </c>
      <c r="G249" s="12">
        <f t="shared" si="11"/>
        <v>5</v>
      </c>
      <c r="H249" s="9" t="s">
        <v>19</v>
      </c>
      <c r="I249" s="9" t="s">
        <v>929</v>
      </c>
      <c r="J249" s="9" t="s">
        <v>930</v>
      </c>
      <c r="K249" s="9" t="s">
        <v>98</v>
      </c>
      <c r="L249" s="9" t="s">
        <v>23</v>
      </c>
      <c r="M249" s="9" t="s">
        <v>931</v>
      </c>
      <c r="N249" s="9" t="s">
        <v>225</v>
      </c>
      <c r="O249" s="9">
        <v>55044</v>
      </c>
      <c r="P249" s="9" t="s">
        <v>101</v>
      </c>
      <c r="Q249" s="9" t="s">
        <v>936</v>
      </c>
      <c r="R249" s="9" t="s">
        <v>42</v>
      </c>
      <c r="S249" s="9" t="s">
        <v>74</v>
      </c>
      <c r="T249" s="9" t="s">
        <v>937</v>
      </c>
      <c r="U249" s="11">
        <v>1503.25</v>
      </c>
    </row>
    <row r="250" spans="1:21" x14ac:dyDescent="0.3">
      <c r="A250" s="4">
        <v>249</v>
      </c>
      <c r="B250" s="5" t="s">
        <v>928</v>
      </c>
      <c r="C250" s="6">
        <v>42156</v>
      </c>
      <c r="D250" s="6" t="str">
        <f t="shared" si="9"/>
        <v>Jun</v>
      </c>
      <c r="E250" s="12">
        <f t="shared" si="10"/>
        <v>2015</v>
      </c>
      <c r="F250" s="6">
        <v>42161</v>
      </c>
      <c r="G250" s="12">
        <f t="shared" si="11"/>
        <v>5</v>
      </c>
      <c r="H250" s="5" t="s">
        <v>19</v>
      </c>
      <c r="I250" s="5" t="s">
        <v>929</v>
      </c>
      <c r="J250" s="5" t="s">
        <v>930</v>
      </c>
      <c r="K250" s="5" t="s">
        <v>98</v>
      </c>
      <c r="L250" s="5" t="s">
        <v>23</v>
      </c>
      <c r="M250" s="5" t="s">
        <v>931</v>
      </c>
      <c r="N250" s="5" t="s">
        <v>225</v>
      </c>
      <c r="O250" s="5">
        <v>55044</v>
      </c>
      <c r="P250" s="5" t="s">
        <v>101</v>
      </c>
      <c r="Q250" s="5" t="s">
        <v>766</v>
      </c>
      <c r="R250" s="5" t="s">
        <v>42</v>
      </c>
      <c r="S250" s="5" t="s">
        <v>86</v>
      </c>
      <c r="T250" s="5" t="s">
        <v>767</v>
      </c>
      <c r="U250" s="7">
        <v>25.92</v>
      </c>
    </row>
    <row r="251" spans="1:21" x14ac:dyDescent="0.3">
      <c r="A251" s="8">
        <v>250</v>
      </c>
      <c r="B251" s="9" t="s">
        <v>938</v>
      </c>
      <c r="C251" s="10">
        <v>43079</v>
      </c>
      <c r="D251" s="6" t="str">
        <f t="shared" si="9"/>
        <v>Dec</v>
      </c>
      <c r="E251" s="12">
        <f t="shared" si="10"/>
        <v>2017</v>
      </c>
      <c r="F251" s="10">
        <v>43084</v>
      </c>
      <c r="G251" s="12">
        <f t="shared" si="11"/>
        <v>5</v>
      </c>
      <c r="H251" s="9" t="s">
        <v>19</v>
      </c>
      <c r="I251" s="9" t="s">
        <v>939</v>
      </c>
      <c r="J251" s="9" t="s">
        <v>940</v>
      </c>
      <c r="K251" s="9" t="s">
        <v>22</v>
      </c>
      <c r="L251" s="9" t="s">
        <v>23</v>
      </c>
      <c r="M251" s="9" t="s">
        <v>123</v>
      </c>
      <c r="N251" s="9" t="s">
        <v>39</v>
      </c>
      <c r="O251" s="9">
        <v>94109</v>
      </c>
      <c r="P251" s="9" t="s">
        <v>40</v>
      </c>
      <c r="Q251" s="9" t="s">
        <v>941</v>
      </c>
      <c r="R251" s="9" t="s">
        <v>28</v>
      </c>
      <c r="S251" s="9" t="s">
        <v>32</v>
      </c>
      <c r="T251" s="9" t="s">
        <v>942</v>
      </c>
      <c r="U251" s="11">
        <v>321.56799999999998</v>
      </c>
    </row>
    <row r="252" spans="1:21" x14ac:dyDescent="0.3">
      <c r="A252" s="4">
        <v>251</v>
      </c>
      <c r="B252" s="5" t="s">
        <v>943</v>
      </c>
      <c r="C252" s="6">
        <v>42989</v>
      </c>
      <c r="D252" s="6" t="str">
        <f t="shared" si="9"/>
        <v>Sep</v>
      </c>
      <c r="E252" s="12">
        <f t="shared" si="10"/>
        <v>2017</v>
      </c>
      <c r="F252" s="6">
        <v>42995</v>
      </c>
      <c r="G252" s="12">
        <f t="shared" si="11"/>
        <v>6</v>
      </c>
      <c r="H252" s="5" t="s">
        <v>46</v>
      </c>
      <c r="I252" s="5" t="s">
        <v>944</v>
      </c>
      <c r="J252" s="5" t="s">
        <v>945</v>
      </c>
      <c r="K252" s="5" t="s">
        <v>22</v>
      </c>
      <c r="L252" s="5" t="s">
        <v>23</v>
      </c>
      <c r="M252" s="5" t="s">
        <v>946</v>
      </c>
      <c r="N252" s="5" t="s">
        <v>39</v>
      </c>
      <c r="O252" s="5">
        <v>92037</v>
      </c>
      <c r="P252" s="5" t="s">
        <v>40</v>
      </c>
      <c r="Q252" s="5" t="s">
        <v>947</v>
      </c>
      <c r="R252" s="5" t="s">
        <v>42</v>
      </c>
      <c r="S252" s="5" t="s">
        <v>86</v>
      </c>
      <c r="T252" s="5" t="s">
        <v>948</v>
      </c>
      <c r="U252" s="7">
        <v>7.61</v>
      </c>
    </row>
    <row r="253" spans="1:21" x14ac:dyDescent="0.3">
      <c r="A253" s="8">
        <v>252</v>
      </c>
      <c r="B253" s="9" t="s">
        <v>943</v>
      </c>
      <c r="C253" s="10">
        <v>42989</v>
      </c>
      <c r="D253" s="6" t="str">
        <f t="shared" si="9"/>
        <v>Sep</v>
      </c>
      <c r="E253" s="12">
        <f t="shared" si="10"/>
        <v>2017</v>
      </c>
      <c r="F253" s="10">
        <v>42995</v>
      </c>
      <c r="G253" s="12">
        <f t="shared" si="11"/>
        <v>6</v>
      </c>
      <c r="H253" s="9" t="s">
        <v>46</v>
      </c>
      <c r="I253" s="9" t="s">
        <v>944</v>
      </c>
      <c r="J253" s="9" t="s">
        <v>945</v>
      </c>
      <c r="K253" s="9" t="s">
        <v>22</v>
      </c>
      <c r="L253" s="9" t="s">
        <v>23</v>
      </c>
      <c r="M253" s="9" t="s">
        <v>946</v>
      </c>
      <c r="N253" s="9" t="s">
        <v>39</v>
      </c>
      <c r="O253" s="9">
        <v>92037</v>
      </c>
      <c r="P253" s="9" t="s">
        <v>40</v>
      </c>
      <c r="Q253" s="9" t="s">
        <v>905</v>
      </c>
      <c r="R253" s="9" t="s">
        <v>67</v>
      </c>
      <c r="S253" s="9" t="s">
        <v>157</v>
      </c>
      <c r="T253" s="9" t="s">
        <v>906</v>
      </c>
      <c r="U253" s="11">
        <v>3347.37</v>
      </c>
    </row>
    <row r="254" spans="1:21" x14ac:dyDescent="0.3">
      <c r="A254" s="4">
        <v>253</v>
      </c>
      <c r="B254" s="5" t="s">
        <v>949</v>
      </c>
      <c r="C254" s="6">
        <v>43079</v>
      </c>
      <c r="D254" s="6" t="str">
        <f t="shared" si="9"/>
        <v>Dec</v>
      </c>
      <c r="E254" s="12">
        <f t="shared" si="10"/>
        <v>2017</v>
      </c>
      <c r="F254" s="6">
        <v>43082</v>
      </c>
      <c r="G254" s="12">
        <f t="shared" si="11"/>
        <v>3</v>
      </c>
      <c r="H254" s="5" t="s">
        <v>184</v>
      </c>
      <c r="I254" s="5" t="s">
        <v>950</v>
      </c>
      <c r="J254" s="5" t="s">
        <v>951</v>
      </c>
      <c r="K254" s="5" t="s">
        <v>22</v>
      </c>
      <c r="L254" s="5" t="s">
        <v>23</v>
      </c>
      <c r="M254" s="5" t="s">
        <v>262</v>
      </c>
      <c r="N254" s="5" t="s">
        <v>263</v>
      </c>
      <c r="O254" s="5">
        <v>10024</v>
      </c>
      <c r="P254" s="5" t="s">
        <v>144</v>
      </c>
      <c r="Q254" s="5" t="s">
        <v>952</v>
      </c>
      <c r="R254" s="5" t="s">
        <v>42</v>
      </c>
      <c r="S254" s="5" t="s">
        <v>55</v>
      </c>
      <c r="T254" s="5" t="s">
        <v>953</v>
      </c>
      <c r="U254" s="7">
        <v>80.58</v>
      </c>
    </row>
    <row r="255" spans="1:21" x14ac:dyDescent="0.3">
      <c r="A255" s="8">
        <v>254</v>
      </c>
      <c r="B255" s="9" t="s">
        <v>949</v>
      </c>
      <c r="C255" s="10">
        <v>43079</v>
      </c>
      <c r="D255" s="6" t="str">
        <f t="shared" si="9"/>
        <v>Dec</v>
      </c>
      <c r="E255" s="12">
        <f t="shared" si="10"/>
        <v>2017</v>
      </c>
      <c r="F255" s="10">
        <v>43082</v>
      </c>
      <c r="G255" s="12">
        <f t="shared" si="11"/>
        <v>3</v>
      </c>
      <c r="H255" s="9" t="s">
        <v>184</v>
      </c>
      <c r="I255" s="9" t="s">
        <v>950</v>
      </c>
      <c r="J255" s="9" t="s">
        <v>951</v>
      </c>
      <c r="K255" s="9" t="s">
        <v>22</v>
      </c>
      <c r="L255" s="9" t="s">
        <v>23</v>
      </c>
      <c r="M255" s="9" t="s">
        <v>262</v>
      </c>
      <c r="N255" s="9" t="s">
        <v>263</v>
      </c>
      <c r="O255" s="9">
        <v>10024</v>
      </c>
      <c r="P255" s="9" t="s">
        <v>144</v>
      </c>
      <c r="Q255" s="9" t="s">
        <v>954</v>
      </c>
      <c r="R255" s="9" t="s">
        <v>42</v>
      </c>
      <c r="S255" s="9" t="s">
        <v>169</v>
      </c>
      <c r="T255" s="9" t="s">
        <v>955</v>
      </c>
      <c r="U255" s="11">
        <v>361.92</v>
      </c>
    </row>
    <row r="256" spans="1:21" x14ac:dyDescent="0.3">
      <c r="A256" s="4">
        <v>255</v>
      </c>
      <c r="B256" s="5" t="s">
        <v>956</v>
      </c>
      <c r="C256" s="6">
        <v>42702</v>
      </c>
      <c r="D256" s="6" t="str">
        <f t="shared" si="9"/>
        <v>Nov</v>
      </c>
      <c r="E256" s="12">
        <f t="shared" si="10"/>
        <v>2016</v>
      </c>
      <c r="F256" s="6">
        <v>42708</v>
      </c>
      <c r="G256" s="12">
        <f t="shared" si="11"/>
        <v>6</v>
      </c>
      <c r="H256" s="5" t="s">
        <v>46</v>
      </c>
      <c r="I256" s="5" t="s">
        <v>957</v>
      </c>
      <c r="J256" s="5" t="s">
        <v>958</v>
      </c>
      <c r="K256" s="5" t="s">
        <v>37</v>
      </c>
      <c r="L256" s="5" t="s">
        <v>23</v>
      </c>
      <c r="M256" s="5" t="s">
        <v>299</v>
      </c>
      <c r="N256" s="5" t="s">
        <v>207</v>
      </c>
      <c r="O256" s="5">
        <v>60623</v>
      </c>
      <c r="P256" s="5" t="s">
        <v>101</v>
      </c>
      <c r="Q256" s="5" t="s">
        <v>926</v>
      </c>
      <c r="R256" s="5" t="s">
        <v>28</v>
      </c>
      <c r="S256" s="5" t="s">
        <v>61</v>
      </c>
      <c r="T256" s="5" t="s">
        <v>927</v>
      </c>
      <c r="U256" s="7">
        <v>12.132</v>
      </c>
    </row>
    <row r="257" spans="1:21" x14ac:dyDescent="0.3">
      <c r="A257" s="8">
        <v>256</v>
      </c>
      <c r="B257" s="9" t="s">
        <v>956</v>
      </c>
      <c r="C257" s="10">
        <v>42702</v>
      </c>
      <c r="D257" s="6" t="str">
        <f t="shared" si="9"/>
        <v>Nov</v>
      </c>
      <c r="E257" s="12">
        <f t="shared" si="10"/>
        <v>2016</v>
      </c>
      <c r="F257" s="10">
        <v>42708</v>
      </c>
      <c r="G257" s="12">
        <f t="shared" si="11"/>
        <v>6</v>
      </c>
      <c r="H257" s="9" t="s">
        <v>46</v>
      </c>
      <c r="I257" s="9" t="s">
        <v>957</v>
      </c>
      <c r="J257" s="9" t="s">
        <v>958</v>
      </c>
      <c r="K257" s="9" t="s">
        <v>37</v>
      </c>
      <c r="L257" s="9" t="s">
        <v>23</v>
      </c>
      <c r="M257" s="9" t="s">
        <v>299</v>
      </c>
      <c r="N257" s="9" t="s">
        <v>207</v>
      </c>
      <c r="O257" s="9">
        <v>60623</v>
      </c>
      <c r="P257" s="9" t="s">
        <v>101</v>
      </c>
      <c r="Q257" s="9" t="s">
        <v>959</v>
      </c>
      <c r="R257" s="9" t="s">
        <v>42</v>
      </c>
      <c r="S257" s="9" t="s">
        <v>55</v>
      </c>
      <c r="T257" s="9" t="s">
        <v>960</v>
      </c>
      <c r="U257" s="11">
        <v>82.367999999999995</v>
      </c>
    </row>
    <row r="258" spans="1:21" x14ac:dyDescent="0.3">
      <c r="A258" s="4">
        <v>257</v>
      </c>
      <c r="B258" s="5" t="s">
        <v>956</v>
      </c>
      <c r="C258" s="6">
        <v>42702</v>
      </c>
      <c r="D258" s="6" t="str">
        <f t="shared" si="9"/>
        <v>Nov</v>
      </c>
      <c r="E258" s="12">
        <f t="shared" si="10"/>
        <v>2016</v>
      </c>
      <c r="F258" s="6">
        <v>42708</v>
      </c>
      <c r="G258" s="12">
        <f t="shared" si="11"/>
        <v>6</v>
      </c>
      <c r="H258" s="5" t="s">
        <v>46</v>
      </c>
      <c r="I258" s="5" t="s">
        <v>957</v>
      </c>
      <c r="J258" s="5" t="s">
        <v>958</v>
      </c>
      <c r="K258" s="5" t="s">
        <v>37</v>
      </c>
      <c r="L258" s="5" t="s">
        <v>23</v>
      </c>
      <c r="M258" s="5" t="s">
        <v>299</v>
      </c>
      <c r="N258" s="5" t="s">
        <v>207</v>
      </c>
      <c r="O258" s="5">
        <v>60623</v>
      </c>
      <c r="P258" s="5" t="s">
        <v>101</v>
      </c>
      <c r="Q258" s="5" t="s">
        <v>632</v>
      </c>
      <c r="R258" s="5" t="s">
        <v>42</v>
      </c>
      <c r="S258" s="5" t="s">
        <v>55</v>
      </c>
      <c r="T258" s="5" t="s">
        <v>633</v>
      </c>
      <c r="U258" s="7">
        <v>53.92</v>
      </c>
    </row>
    <row r="259" spans="1:21" x14ac:dyDescent="0.3">
      <c r="A259" s="8">
        <v>258</v>
      </c>
      <c r="B259" s="9" t="s">
        <v>956</v>
      </c>
      <c r="C259" s="10">
        <v>42702</v>
      </c>
      <c r="D259" s="6" t="str">
        <f t="shared" ref="D259:D322" si="12">TEXT(C259,"MMM")</f>
        <v>Nov</v>
      </c>
      <c r="E259" s="12">
        <f t="shared" ref="E259:E322" si="13">YEAR(C259)</f>
        <v>2016</v>
      </c>
      <c r="F259" s="10">
        <v>42708</v>
      </c>
      <c r="G259" s="12">
        <f t="shared" ref="G259:G322" si="14">DATEDIF(C259,F259,"D")</f>
        <v>6</v>
      </c>
      <c r="H259" s="9" t="s">
        <v>46</v>
      </c>
      <c r="I259" s="9" t="s">
        <v>957</v>
      </c>
      <c r="J259" s="9" t="s">
        <v>958</v>
      </c>
      <c r="K259" s="9" t="s">
        <v>37</v>
      </c>
      <c r="L259" s="9" t="s">
        <v>23</v>
      </c>
      <c r="M259" s="9" t="s">
        <v>299</v>
      </c>
      <c r="N259" s="9" t="s">
        <v>207</v>
      </c>
      <c r="O259" s="9">
        <v>60623</v>
      </c>
      <c r="P259" s="9" t="s">
        <v>101</v>
      </c>
      <c r="Q259" s="9" t="s">
        <v>961</v>
      </c>
      <c r="R259" s="9" t="s">
        <v>67</v>
      </c>
      <c r="S259" s="9" t="s">
        <v>68</v>
      </c>
      <c r="T259" s="9" t="s">
        <v>962</v>
      </c>
      <c r="U259" s="11">
        <v>647.904</v>
      </c>
    </row>
    <row r="260" spans="1:21" x14ac:dyDescent="0.3">
      <c r="A260" s="4">
        <v>259</v>
      </c>
      <c r="B260" s="5" t="s">
        <v>963</v>
      </c>
      <c r="C260" s="6">
        <v>43435</v>
      </c>
      <c r="D260" s="6" t="str">
        <f t="shared" si="12"/>
        <v>Dec</v>
      </c>
      <c r="E260" s="12">
        <f t="shared" si="13"/>
        <v>2018</v>
      </c>
      <c r="F260" s="6">
        <v>43437</v>
      </c>
      <c r="G260" s="12">
        <f t="shared" si="14"/>
        <v>2</v>
      </c>
      <c r="H260" s="5" t="s">
        <v>19</v>
      </c>
      <c r="I260" s="5" t="s">
        <v>964</v>
      </c>
      <c r="J260" s="5" t="s">
        <v>965</v>
      </c>
      <c r="K260" s="5" t="s">
        <v>22</v>
      </c>
      <c r="L260" s="5" t="s">
        <v>23</v>
      </c>
      <c r="M260" s="5" t="s">
        <v>262</v>
      </c>
      <c r="N260" s="5" t="s">
        <v>263</v>
      </c>
      <c r="O260" s="5">
        <v>10009</v>
      </c>
      <c r="P260" s="5" t="s">
        <v>144</v>
      </c>
      <c r="Q260" s="5" t="s">
        <v>966</v>
      </c>
      <c r="R260" s="5" t="s">
        <v>67</v>
      </c>
      <c r="S260" s="5" t="s">
        <v>157</v>
      </c>
      <c r="T260" s="5" t="s">
        <v>967</v>
      </c>
      <c r="U260" s="7">
        <v>20.37</v>
      </c>
    </row>
    <row r="261" spans="1:21" x14ac:dyDescent="0.3">
      <c r="A261" s="8">
        <v>260</v>
      </c>
      <c r="B261" s="9" t="s">
        <v>963</v>
      </c>
      <c r="C261" s="10">
        <v>43435</v>
      </c>
      <c r="D261" s="6" t="str">
        <f t="shared" si="12"/>
        <v>Dec</v>
      </c>
      <c r="E261" s="12">
        <f t="shared" si="13"/>
        <v>2018</v>
      </c>
      <c r="F261" s="10">
        <v>43437</v>
      </c>
      <c r="G261" s="12">
        <f t="shared" si="14"/>
        <v>2</v>
      </c>
      <c r="H261" s="9" t="s">
        <v>19</v>
      </c>
      <c r="I261" s="9" t="s">
        <v>964</v>
      </c>
      <c r="J261" s="9" t="s">
        <v>965</v>
      </c>
      <c r="K261" s="9" t="s">
        <v>22</v>
      </c>
      <c r="L261" s="9" t="s">
        <v>23</v>
      </c>
      <c r="M261" s="9" t="s">
        <v>262</v>
      </c>
      <c r="N261" s="9" t="s">
        <v>263</v>
      </c>
      <c r="O261" s="9">
        <v>10009</v>
      </c>
      <c r="P261" s="9" t="s">
        <v>144</v>
      </c>
      <c r="Q261" s="9" t="s">
        <v>968</v>
      </c>
      <c r="R261" s="9" t="s">
        <v>42</v>
      </c>
      <c r="S261" s="9" t="s">
        <v>55</v>
      </c>
      <c r="T261" s="9" t="s">
        <v>969</v>
      </c>
      <c r="U261" s="11">
        <v>221.55</v>
      </c>
    </row>
    <row r="262" spans="1:21" x14ac:dyDescent="0.3">
      <c r="A262" s="4">
        <v>261</v>
      </c>
      <c r="B262" s="5" t="s">
        <v>963</v>
      </c>
      <c r="C262" s="6">
        <v>43435</v>
      </c>
      <c r="D262" s="6" t="str">
        <f t="shared" si="12"/>
        <v>Dec</v>
      </c>
      <c r="E262" s="12">
        <f t="shared" si="13"/>
        <v>2018</v>
      </c>
      <c r="F262" s="6">
        <v>43437</v>
      </c>
      <c r="G262" s="12">
        <f t="shared" si="14"/>
        <v>2</v>
      </c>
      <c r="H262" s="5" t="s">
        <v>19</v>
      </c>
      <c r="I262" s="5" t="s">
        <v>964</v>
      </c>
      <c r="J262" s="5" t="s">
        <v>965</v>
      </c>
      <c r="K262" s="5" t="s">
        <v>22</v>
      </c>
      <c r="L262" s="5" t="s">
        <v>23</v>
      </c>
      <c r="M262" s="5" t="s">
        <v>262</v>
      </c>
      <c r="N262" s="5" t="s">
        <v>263</v>
      </c>
      <c r="O262" s="5">
        <v>10009</v>
      </c>
      <c r="P262" s="5" t="s">
        <v>144</v>
      </c>
      <c r="Q262" s="5" t="s">
        <v>970</v>
      </c>
      <c r="R262" s="5" t="s">
        <v>42</v>
      </c>
      <c r="S262" s="5" t="s">
        <v>71</v>
      </c>
      <c r="T262" s="5" t="s">
        <v>971</v>
      </c>
      <c r="U262" s="7">
        <v>17.52</v>
      </c>
    </row>
    <row r="263" spans="1:21" x14ac:dyDescent="0.3">
      <c r="A263" s="8">
        <v>262</v>
      </c>
      <c r="B263" s="9" t="s">
        <v>972</v>
      </c>
      <c r="C263" s="10">
        <v>43259</v>
      </c>
      <c r="D263" s="6" t="str">
        <f t="shared" si="12"/>
        <v>Jun</v>
      </c>
      <c r="E263" s="12">
        <f t="shared" si="13"/>
        <v>2018</v>
      </c>
      <c r="F263" s="10">
        <v>43263</v>
      </c>
      <c r="G263" s="12">
        <f t="shared" si="14"/>
        <v>4</v>
      </c>
      <c r="H263" s="9" t="s">
        <v>46</v>
      </c>
      <c r="I263" s="9" t="s">
        <v>973</v>
      </c>
      <c r="J263" s="9" t="s">
        <v>974</v>
      </c>
      <c r="K263" s="9" t="s">
        <v>37</v>
      </c>
      <c r="L263" s="9" t="s">
        <v>23</v>
      </c>
      <c r="M263" s="9" t="s">
        <v>599</v>
      </c>
      <c r="N263" s="9" t="s">
        <v>100</v>
      </c>
      <c r="O263" s="9">
        <v>77506</v>
      </c>
      <c r="P263" s="9" t="s">
        <v>101</v>
      </c>
      <c r="Q263" s="9" t="s">
        <v>975</v>
      </c>
      <c r="R263" s="9" t="s">
        <v>42</v>
      </c>
      <c r="S263" s="9" t="s">
        <v>74</v>
      </c>
      <c r="T263" s="9" t="s">
        <v>976</v>
      </c>
      <c r="U263" s="11">
        <v>1.6240000000000001</v>
      </c>
    </row>
    <row r="264" spans="1:21" x14ac:dyDescent="0.3">
      <c r="A264" s="4">
        <v>263</v>
      </c>
      <c r="B264" s="5" t="s">
        <v>977</v>
      </c>
      <c r="C264" s="6">
        <v>42266</v>
      </c>
      <c r="D264" s="6" t="str">
        <f t="shared" si="12"/>
        <v>Sep</v>
      </c>
      <c r="E264" s="12">
        <f t="shared" si="13"/>
        <v>2015</v>
      </c>
      <c r="F264" s="6">
        <v>42268</v>
      </c>
      <c r="G264" s="12">
        <f t="shared" si="14"/>
        <v>2</v>
      </c>
      <c r="H264" s="5" t="s">
        <v>19</v>
      </c>
      <c r="I264" s="5" t="s">
        <v>978</v>
      </c>
      <c r="J264" s="5" t="s">
        <v>979</v>
      </c>
      <c r="K264" s="5" t="s">
        <v>37</v>
      </c>
      <c r="L264" s="5" t="s">
        <v>23</v>
      </c>
      <c r="M264" s="5" t="s">
        <v>180</v>
      </c>
      <c r="N264" s="5" t="s">
        <v>100</v>
      </c>
      <c r="O264" s="5">
        <v>77036</v>
      </c>
      <c r="P264" s="5" t="s">
        <v>101</v>
      </c>
      <c r="Q264" s="5" t="s">
        <v>679</v>
      </c>
      <c r="R264" s="5" t="s">
        <v>67</v>
      </c>
      <c r="S264" s="5" t="s">
        <v>680</v>
      </c>
      <c r="T264" s="5" t="s">
        <v>681</v>
      </c>
      <c r="U264" s="7">
        <v>3059.982</v>
      </c>
    </row>
    <row r="265" spans="1:21" x14ac:dyDescent="0.3">
      <c r="A265" s="8">
        <v>264</v>
      </c>
      <c r="B265" s="9" t="s">
        <v>977</v>
      </c>
      <c r="C265" s="10">
        <v>42266</v>
      </c>
      <c r="D265" s="6" t="str">
        <f t="shared" si="12"/>
        <v>Sep</v>
      </c>
      <c r="E265" s="12">
        <f t="shared" si="13"/>
        <v>2015</v>
      </c>
      <c r="F265" s="10">
        <v>42268</v>
      </c>
      <c r="G265" s="12">
        <f t="shared" si="14"/>
        <v>2</v>
      </c>
      <c r="H265" s="9" t="s">
        <v>19</v>
      </c>
      <c r="I265" s="9" t="s">
        <v>978</v>
      </c>
      <c r="J265" s="9" t="s">
        <v>979</v>
      </c>
      <c r="K265" s="9" t="s">
        <v>37</v>
      </c>
      <c r="L265" s="9" t="s">
        <v>23</v>
      </c>
      <c r="M265" s="9" t="s">
        <v>180</v>
      </c>
      <c r="N265" s="9" t="s">
        <v>100</v>
      </c>
      <c r="O265" s="9">
        <v>77036</v>
      </c>
      <c r="P265" s="9" t="s">
        <v>101</v>
      </c>
      <c r="Q265" s="9" t="s">
        <v>980</v>
      </c>
      <c r="R265" s="9" t="s">
        <v>67</v>
      </c>
      <c r="S265" s="9" t="s">
        <v>680</v>
      </c>
      <c r="T265" s="9" t="s">
        <v>981</v>
      </c>
      <c r="U265" s="11">
        <v>2519.9580000000001</v>
      </c>
    </row>
    <row r="266" spans="1:21" x14ac:dyDescent="0.3">
      <c r="A266" s="4">
        <v>265</v>
      </c>
      <c r="B266" s="5" t="s">
        <v>982</v>
      </c>
      <c r="C266" s="6">
        <v>42892</v>
      </c>
      <c r="D266" s="6" t="str">
        <f t="shared" si="12"/>
        <v>Jun</v>
      </c>
      <c r="E266" s="12">
        <f t="shared" si="13"/>
        <v>2017</v>
      </c>
      <c r="F266" s="6">
        <v>42899</v>
      </c>
      <c r="G266" s="12">
        <f t="shared" si="14"/>
        <v>7</v>
      </c>
      <c r="H266" s="5" t="s">
        <v>46</v>
      </c>
      <c r="I266" s="5" t="s">
        <v>983</v>
      </c>
      <c r="J266" s="5" t="s">
        <v>984</v>
      </c>
      <c r="K266" s="5" t="s">
        <v>22</v>
      </c>
      <c r="L266" s="5" t="s">
        <v>23</v>
      </c>
      <c r="M266" s="5" t="s">
        <v>299</v>
      </c>
      <c r="N266" s="5" t="s">
        <v>207</v>
      </c>
      <c r="O266" s="5">
        <v>60610</v>
      </c>
      <c r="P266" s="5" t="s">
        <v>101</v>
      </c>
      <c r="Q266" s="5" t="s">
        <v>985</v>
      </c>
      <c r="R266" s="5" t="s">
        <v>67</v>
      </c>
      <c r="S266" s="5" t="s">
        <v>68</v>
      </c>
      <c r="T266" s="5" t="s">
        <v>986</v>
      </c>
      <c r="U266" s="7">
        <v>328.22399999999999</v>
      </c>
    </row>
    <row r="267" spans="1:21" x14ac:dyDescent="0.3">
      <c r="A267" s="8">
        <v>266</v>
      </c>
      <c r="B267" s="9" t="s">
        <v>987</v>
      </c>
      <c r="C267" s="10">
        <v>42684</v>
      </c>
      <c r="D267" s="6" t="str">
        <f t="shared" si="12"/>
        <v>Nov</v>
      </c>
      <c r="E267" s="12">
        <f t="shared" si="13"/>
        <v>2016</v>
      </c>
      <c r="F267" s="10">
        <v>42689</v>
      </c>
      <c r="G267" s="12">
        <f t="shared" si="14"/>
        <v>5</v>
      </c>
      <c r="H267" s="9" t="s">
        <v>46</v>
      </c>
      <c r="I267" s="9" t="s">
        <v>988</v>
      </c>
      <c r="J267" s="9" t="s">
        <v>989</v>
      </c>
      <c r="K267" s="9" t="s">
        <v>22</v>
      </c>
      <c r="L267" s="9" t="s">
        <v>23</v>
      </c>
      <c r="M267" s="9" t="s">
        <v>990</v>
      </c>
      <c r="N267" s="9" t="s">
        <v>39</v>
      </c>
      <c r="O267" s="9">
        <v>94513</v>
      </c>
      <c r="P267" s="9" t="s">
        <v>40</v>
      </c>
      <c r="Q267" s="9" t="s">
        <v>991</v>
      </c>
      <c r="R267" s="9" t="s">
        <v>67</v>
      </c>
      <c r="S267" s="9" t="s">
        <v>157</v>
      </c>
      <c r="T267" s="9" t="s">
        <v>992</v>
      </c>
      <c r="U267" s="11">
        <v>79.900000000000006</v>
      </c>
    </row>
    <row r="268" spans="1:21" x14ac:dyDescent="0.3">
      <c r="A268" s="4">
        <v>267</v>
      </c>
      <c r="B268" s="5" t="s">
        <v>993</v>
      </c>
      <c r="C268" s="6">
        <v>43267</v>
      </c>
      <c r="D268" s="6" t="str">
        <f t="shared" si="12"/>
        <v>Jun</v>
      </c>
      <c r="E268" s="12">
        <f t="shared" si="13"/>
        <v>2018</v>
      </c>
      <c r="F268" s="6">
        <v>43271</v>
      </c>
      <c r="G268" s="12">
        <f t="shared" si="14"/>
        <v>4</v>
      </c>
      <c r="H268" s="5" t="s">
        <v>46</v>
      </c>
      <c r="I268" s="5" t="s">
        <v>994</v>
      </c>
      <c r="J268" s="5" t="s">
        <v>995</v>
      </c>
      <c r="K268" s="5" t="s">
        <v>37</v>
      </c>
      <c r="L268" s="5" t="s">
        <v>23</v>
      </c>
      <c r="M268" s="5" t="s">
        <v>996</v>
      </c>
      <c r="N268" s="5" t="s">
        <v>84</v>
      </c>
      <c r="O268" s="5">
        <v>27514</v>
      </c>
      <c r="P268" s="5" t="s">
        <v>26</v>
      </c>
      <c r="Q268" s="5" t="s">
        <v>997</v>
      </c>
      <c r="R268" s="5" t="s">
        <v>42</v>
      </c>
      <c r="S268" s="5" t="s">
        <v>64</v>
      </c>
      <c r="T268" s="5" t="s">
        <v>998</v>
      </c>
      <c r="U268" s="7">
        <v>14.016</v>
      </c>
    </row>
    <row r="269" spans="1:21" x14ac:dyDescent="0.3">
      <c r="A269" s="8">
        <v>268</v>
      </c>
      <c r="B269" s="9" t="s">
        <v>999</v>
      </c>
      <c r="C269" s="10">
        <v>42757</v>
      </c>
      <c r="D269" s="6" t="str">
        <f t="shared" si="12"/>
        <v>Jan</v>
      </c>
      <c r="E269" s="12">
        <f t="shared" si="13"/>
        <v>2017</v>
      </c>
      <c r="F269" s="10">
        <v>42763</v>
      </c>
      <c r="G269" s="12">
        <f t="shared" si="14"/>
        <v>6</v>
      </c>
      <c r="H269" s="9" t="s">
        <v>46</v>
      </c>
      <c r="I269" s="9" t="s">
        <v>383</v>
      </c>
      <c r="J269" s="9" t="s">
        <v>384</v>
      </c>
      <c r="K269" s="9" t="s">
        <v>22</v>
      </c>
      <c r="L269" s="9" t="s">
        <v>23</v>
      </c>
      <c r="M269" s="9" t="s">
        <v>1000</v>
      </c>
      <c r="N269" s="9" t="s">
        <v>786</v>
      </c>
      <c r="O269" s="9">
        <v>7960</v>
      </c>
      <c r="P269" s="9" t="s">
        <v>144</v>
      </c>
      <c r="Q269" s="9" t="s">
        <v>1001</v>
      </c>
      <c r="R269" s="9" t="s">
        <v>42</v>
      </c>
      <c r="S269" s="9" t="s">
        <v>265</v>
      </c>
      <c r="T269" s="9" t="s">
        <v>1002</v>
      </c>
      <c r="U269" s="11">
        <v>7.56</v>
      </c>
    </row>
    <row r="270" spans="1:21" x14ac:dyDescent="0.3">
      <c r="A270" s="4">
        <v>269</v>
      </c>
      <c r="B270" s="5" t="s">
        <v>1003</v>
      </c>
      <c r="C270" s="6">
        <v>43443</v>
      </c>
      <c r="D270" s="6" t="str">
        <f t="shared" si="12"/>
        <v>Dec</v>
      </c>
      <c r="E270" s="12">
        <f t="shared" si="13"/>
        <v>2018</v>
      </c>
      <c r="F270" s="6">
        <v>43447</v>
      </c>
      <c r="G270" s="12">
        <f t="shared" si="14"/>
        <v>4</v>
      </c>
      <c r="H270" s="5" t="s">
        <v>46</v>
      </c>
      <c r="I270" s="5" t="s">
        <v>1004</v>
      </c>
      <c r="J270" s="5" t="s">
        <v>1005</v>
      </c>
      <c r="K270" s="5" t="s">
        <v>37</v>
      </c>
      <c r="L270" s="5" t="s">
        <v>23</v>
      </c>
      <c r="M270" s="5" t="s">
        <v>1006</v>
      </c>
      <c r="N270" s="5" t="s">
        <v>494</v>
      </c>
      <c r="O270" s="5">
        <v>45231</v>
      </c>
      <c r="P270" s="5" t="s">
        <v>144</v>
      </c>
      <c r="Q270" s="5" t="s">
        <v>1007</v>
      </c>
      <c r="R270" s="5" t="s">
        <v>42</v>
      </c>
      <c r="S270" s="5" t="s">
        <v>55</v>
      </c>
      <c r="T270" s="5" t="s">
        <v>1008</v>
      </c>
      <c r="U270" s="7">
        <v>37.207999999999998</v>
      </c>
    </row>
    <row r="271" spans="1:21" x14ac:dyDescent="0.3">
      <c r="A271" s="8">
        <v>270</v>
      </c>
      <c r="B271" s="9" t="s">
        <v>1003</v>
      </c>
      <c r="C271" s="10">
        <v>43443</v>
      </c>
      <c r="D271" s="6" t="str">
        <f t="shared" si="12"/>
        <v>Dec</v>
      </c>
      <c r="E271" s="12">
        <f t="shared" si="13"/>
        <v>2018</v>
      </c>
      <c r="F271" s="10">
        <v>43447</v>
      </c>
      <c r="G271" s="12">
        <f t="shared" si="14"/>
        <v>4</v>
      </c>
      <c r="H271" s="9" t="s">
        <v>46</v>
      </c>
      <c r="I271" s="9" t="s">
        <v>1004</v>
      </c>
      <c r="J271" s="9" t="s">
        <v>1005</v>
      </c>
      <c r="K271" s="9" t="s">
        <v>37</v>
      </c>
      <c r="L271" s="9" t="s">
        <v>23</v>
      </c>
      <c r="M271" s="9" t="s">
        <v>1006</v>
      </c>
      <c r="N271" s="9" t="s">
        <v>494</v>
      </c>
      <c r="O271" s="9">
        <v>45231</v>
      </c>
      <c r="P271" s="9" t="s">
        <v>144</v>
      </c>
      <c r="Q271" s="9" t="s">
        <v>1009</v>
      </c>
      <c r="R271" s="9" t="s">
        <v>42</v>
      </c>
      <c r="S271" s="9" t="s">
        <v>169</v>
      </c>
      <c r="T271" s="9" t="s">
        <v>1010</v>
      </c>
      <c r="U271" s="11">
        <v>57.576000000000001</v>
      </c>
    </row>
    <row r="272" spans="1:21" x14ac:dyDescent="0.3">
      <c r="A272" s="4">
        <v>271</v>
      </c>
      <c r="B272" s="5" t="s">
        <v>1011</v>
      </c>
      <c r="C272" s="6">
        <v>43462</v>
      </c>
      <c r="D272" s="6" t="str">
        <f t="shared" si="12"/>
        <v>Dec</v>
      </c>
      <c r="E272" s="12">
        <f t="shared" si="13"/>
        <v>2018</v>
      </c>
      <c r="F272" s="6">
        <v>43467</v>
      </c>
      <c r="G272" s="12">
        <f t="shared" si="14"/>
        <v>5</v>
      </c>
      <c r="H272" s="5" t="s">
        <v>19</v>
      </c>
      <c r="I272" s="5" t="s">
        <v>1012</v>
      </c>
      <c r="J272" s="5" t="s">
        <v>1013</v>
      </c>
      <c r="K272" s="5" t="s">
        <v>37</v>
      </c>
      <c r="L272" s="5" t="s">
        <v>23</v>
      </c>
      <c r="M272" s="5" t="s">
        <v>123</v>
      </c>
      <c r="N272" s="5" t="s">
        <v>39</v>
      </c>
      <c r="O272" s="5">
        <v>94110</v>
      </c>
      <c r="P272" s="5" t="s">
        <v>40</v>
      </c>
      <c r="Q272" s="5" t="s">
        <v>1014</v>
      </c>
      <c r="R272" s="5" t="s">
        <v>42</v>
      </c>
      <c r="S272" s="5" t="s">
        <v>55</v>
      </c>
      <c r="T272" s="5" t="s">
        <v>1015</v>
      </c>
      <c r="U272" s="7">
        <v>725.84</v>
      </c>
    </row>
    <row r="273" spans="1:21" x14ac:dyDescent="0.3">
      <c r="A273" s="8">
        <v>272</v>
      </c>
      <c r="B273" s="9" t="s">
        <v>1016</v>
      </c>
      <c r="C273" s="10">
        <v>42581</v>
      </c>
      <c r="D273" s="6" t="str">
        <f t="shared" si="12"/>
        <v>Jul</v>
      </c>
      <c r="E273" s="12">
        <f t="shared" si="13"/>
        <v>2016</v>
      </c>
      <c r="F273" s="10">
        <v>42582</v>
      </c>
      <c r="G273" s="12">
        <f t="shared" si="14"/>
        <v>1</v>
      </c>
      <c r="H273" s="9" t="s">
        <v>184</v>
      </c>
      <c r="I273" s="9" t="s">
        <v>597</v>
      </c>
      <c r="J273" s="9" t="s">
        <v>598</v>
      </c>
      <c r="K273" s="9" t="s">
        <v>22</v>
      </c>
      <c r="L273" s="9" t="s">
        <v>23</v>
      </c>
      <c r="M273" s="9" t="s">
        <v>123</v>
      </c>
      <c r="N273" s="9" t="s">
        <v>39</v>
      </c>
      <c r="O273" s="9">
        <v>94109</v>
      </c>
      <c r="P273" s="9" t="s">
        <v>40</v>
      </c>
      <c r="Q273" s="9" t="s">
        <v>1017</v>
      </c>
      <c r="R273" s="9" t="s">
        <v>67</v>
      </c>
      <c r="S273" s="9" t="s">
        <v>157</v>
      </c>
      <c r="T273" s="9" t="s">
        <v>1018</v>
      </c>
      <c r="U273" s="11">
        <v>209.93</v>
      </c>
    </row>
    <row r="274" spans="1:21" x14ac:dyDescent="0.3">
      <c r="A274" s="4">
        <v>273</v>
      </c>
      <c r="B274" s="5" t="s">
        <v>1016</v>
      </c>
      <c r="C274" s="6">
        <v>42581</v>
      </c>
      <c r="D274" s="6" t="str">
        <f t="shared" si="12"/>
        <v>Jul</v>
      </c>
      <c r="E274" s="12">
        <f t="shared" si="13"/>
        <v>2016</v>
      </c>
      <c r="F274" s="6">
        <v>42582</v>
      </c>
      <c r="G274" s="12">
        <f t="shared" si="14"/>
        <v>1</v>
      </c>
      <c r="H274" s="5" t="s">
        <v>184</v>
      </c>
      <c r="I274" s="5" t="s">
        <v>597</v>
      </c>
      <c r="J274" s="5" t="s">
        <v>598</v>
      </c>
      <c r="K274" s="5" t="s">
        <v>22</v>
      </c>
      <c r="L274" s="5" t="s">
        <v>23</v>
      </c>
      <c r="M274" s="5" t="s">
        <v>123</v>
      </c>
      <c r="N274" s="5" t="s">
        <v>39</v>
      </c>
      <c r="O274" s="5">
        <v>94109</v>
      </c>
      <c r="P274" s="5" t="s">
        <v>40</v>
      </c>
      <c r="Q274" s="5" t="s">
        <v>1019</v>
      </c>
      <c r="R274" s="5" t="s">
        <v>28</v>
      </c>
      <c r="S274" s="5" t="s">
        <v>61</v>
      </c>
      <c r="T274" s="5" t="s">
        <v>1020</v>
      </c>
      <c r="U274" s="7">
        <v>5.28</v>
      </c>
    </row>
    <row r="275" spans="1:21" x14ac:dyDescent="0.3">
      <c r="A275" s="8">
        <v>274</v>
      </c>
      <c r="B275" s="9" t="s">
        <v>1016</v>
      </c>
      <c r="C275" s="10">
        <v>42581</v>
      </c>
      <c r="D275" s="6" t="str">
        <f t="shared" si="12"/>
        <v>Jul</v>
      </c>
      <c r="E275" s="12">
        <f t="shared" si="13"/>
        <v>2016</v>
      </c>
      <c r="F275" s="10">
        <v>42582</v>
      </c>
      <c r="G275" s="12">
        <f t="shared" si="14"/>
        <v>1</v>
      </c>
      <c r="H275" s="9" t="s">
        <v>184</v>
      </c>
      <c r="I275" s="9" t="s">
        <v>597</v>
      </c>
      <c r="J275" s="9" t="s">
        <v>598</v>
      </c>
      <c r="K275" s="9" t="s">
        <v>22</v>
      </c>
      <c r="L275" s="9" t="s">
        <v>23</v>
      </c>
      <c r="M275" s="9" t="s">
        <v>123</v>
      </c>
      <c r="N275" s="9" t="s">
        <v>39</v>
      </c>
      <c r="O275" s="9">
        <v>94109</v>
      </c>
      <c r="P275" s="9" t="s">
        <v>40</v>
      </c>
      <c r="Q275" s="9" t="s">
        <v>1021</v>
      </c>
      <c r="R275" s="9" t="s">
        <v>42</v>
      </c>
      <c r="S275" s="9" t="s">
        <v>71</v>
      </c>
      <c r="T275" s="9" t="s">
        <v>1022</v>
      </c>
      <c r="U275" s="11">
        <v>10.92</v>
      </c>
    </row>
    <row r="276" spans="1:21" x14ac:dyDescent="0.3">
      <c r="A276" s="4">
        <v>275</v>
      </c>
      <c r="B276" s="5" t="s">
        <v>1023</v>
      </c>
      <c r="C276" s="6">
        <v>43359</v>
      </c>
      <c r="D276" s="6" t="str">
        <f t="shared" si="12"/>
        <v>Sep</v>
      </c>
      <c r="E276" s="12">
        <f t="shared" si="13"/>
        <v>2018</v>
      </c>
      <c r="F276" s="6">
        <v>43360</v>
      </c>
      <c r="G276" s="12">
        <f t="shared" si="14"/>
        <v>1</v>
      </c>
      <c r="H276" s="5" t="s">
        <v>184</v>
      </c>
      <c r="I276" s="5" t="s">
        <v>1024</v>
      </c>
      <c r="J276" s="5" t="s">
        <v>1025</v>
      </c>
      <c r="K276" s="5" t="s">
        <v>37</v>
      </c>
      <c r="L276" s="5" t="s">
        <v>23</v>
      </c>
      <c r="M276" s="5" t="s">
        <v>1026</v>
      </c>
      <c r="N276" s="5" t="s">
        <v>39</v>
      </c>
      <c r="O276" s="5">
        <v>90301</v>
      </c>
      <c r="P276" s="5" t="s">
        <v>40</v>
      </c>
      <c r="Q276" s="5" t="s">
        <v>1027</v>
      </c>
      <c r="R276" s="5" t="s">
        <v>42</v>
      </c>
      <c r="S276" s="5" t="s">
        <v>86</v>
      </c>
      <c r="T276" s="5" t="s">
        <v>1028</v>
      </c>
      <c r="U276" s="7">
        <v>8.82</v>
      </c>
    </row>
    <row r="277" spans="1:21" x14ac:dyDescent="0.3">
      <c r="A277" s="8">
        <v>276</v>
      </c>
      <c r="B277" s="9" t="s">
        <v>1023</v>
      </c>
      <c r="C277" s="10">
        <v>43359</v>
      </c>
      <c r="D277" s="6" t="str">
        <f t="shared" si="12"/>
        <v>Sep</v>
      </c>
      <c r="E277" s="12">
        <f t="shared" si="13"/>
        <v>2018</v>
      </c>
      <c r="F277" s="10">
        <v>43360</v>
      </c>
      <c r="G277" s="12">
        <f t="shared" si="14"/>
        <v>1</v>
      </c>
      <c r="H277" s="9" t="s">
        <v>184</v>
      </c>
      <c r="I277" s="9" t="s">
        <v>1024</v>
      </c>
      <c r="J277" s="9" t="s">
        <v>1025</v>
      </c>
      <c r="K277" s="9" t="s">
        <v>37</v>
      </c>
      <c r="L277" s="9" t="s">
        <v>23</v>
      </c>
      <c r="M277" s="9" t="s">
        <v>1026</v>
      </c>
      <c r="N277" s="9" t="s">
        <v>39</v>
      </c>
      <c r="O277" s="9">
        <v>90301</v>
      </c>
      <c r="P277" s="9" t="s">
        <v>40</v>
      </c>
      <c r="Q277" s="9" t="s">
        <v>1029</v>
      </c>
      <c r="R277" s="9" t="s">
        <v>42</v>
      </c>
      <c r="S277" s="9" t="s">
        <v>64</v>
      </c>
      <c r="T277" s="9" t="s">
        <v>1030</v>
      </c>
      <c r="U277" s="11">
        <v>5.98</v>
      </c>
    </row>
    <row r="278" spans="1:21" x14ac:dyDescent="0.3">
      <c r="A278" s="4">
        <v>277</v>
      </c>
      <c r="B278" s="5" t="s">
        <v>1031</v>
      </c>
      <c r="C278" s="6">
        <v>43386</v>
      </c>
      <c r="D278" s="6" t="str">
        <f t="shared" si="12"/>
        <v>Oct</v>
      </c>
      <c r="E278" s="12">
        <f t="shared" si="13"/>
        <v>2018</v>
      </c>
      <c r="F278" s="6">
        <v>43390</v>
      </c>
      <c r="G278" s="12">
        <f t="shared" si="14"/>
        <v>4</v>
      </c>
      <c r="H278" s="5" t="s">
        <v>46</v>
      </c>
      <c r="I278" s="5" t="s">
        <v>1032</v>
      </c>
      <c r="J278" s="5" t="s">
        <v>1033</v>
      </c>
      <c r="K278" s="5" t="s">
        <v>37</v>
      </c>
      <c r="L278" s="5" t="s">
        <v>23</v>
      </c>
      <c r="M278" s="5" t="s">
        <v>142</v>
      </c>
      <c r="N278" s="5" t="s">
        <v>143</v>
      </c>
      <c r="O278" s="5">
        <v>19140</v>
      </c>
      <c r="P278" s="5" t="s">
        <v>144</v>
      </c>
      <c r="Q278" s="5" t="s">
        <v>1034</v>
      </c>
      <c r="R278" s="5" t="s">
        <v>42</v>
      </c>
      <c r="S278" s="5" t="s">
        <v>86</v>
      </c>
      <c r="T278" s="5" t="s">
        <v>1035</v>
      </c>
      <c r="U278" s="7">
        <v>11.648</v>
      </c>
    </row>
    <row r="279" spans="1:21" x14ac:dyDescent="0.3">
      <c r="A279" s="8">
        <v>278</v>
      </c>
      <c r="B279" s="9" t="s">
        <v>1031</v>
      </c>
      <c r="C279" s="10">
        <v>43386</v>
      </c>
      <c r="D279" s="6" t="str">
        <f t="shared" si="12"/>
        <v>Oct</v>
      </c>
      <c r="E279" s="12">
        <f t="shared" si="13"/>
        <v>2018</v>
      </c>
      <c r="F279" s="10">
        <v>43390</v>
      </c>
      <c r="G279" s="12">
        <f t="shared" si="14"/>
        <v>4</v>
      </c>
      <c r="H279" s="9" t="s">
        <v>46</v>
      </c>
      <c r="I279" s="9" t="s">
        <v>1032</v>
      </c>
      <c r="J279" s="9" t="s">
        <v>1033</v>
      </c>
      <c r="K279" s="9" t="s">
        <v>37</v>
      </c>
      <c r="L279" s="9" t="s">
        <v>23</v>
      </c>
      <c r="M279" s="9" t="s">
        <v>142</v>
      </c>
      <c r="N279" s="9" t="s">
        <v>143</v>
      </c>
      <c r="O279" s="9">
        <v>19140</v>
      </c>
      <c r="P279" s="9" t="s">
        <v>144</v>
      </c>
      <c r="Q279" s="9" t="s">
        <v>1036</v>
      </c>
      <c r="R279" s="9" t="s">
        <v>42</v>
      </c>
      <c r="S279" s="9" t="s">
        <v>86</v>
      </c>
      <c r="T279" s="9" t="s">
        <v>1037</v>
      </c>
      <c r="U279" s="11">
        <v>18.175999999999998</v>
      </c>
    </row>
    <row r="280" spans="1:21" x14ac:dyDescent="0.3">
      <c r="A280" s="4">
        <v>279</v>
      </c>
      <c r="B280" s="5" t="s">
        <v>1031</v>
      </c>
      <c r="C280" s="6">
        <v>43386</v>
      </c>
      <c r="D280" s="6" t="str">
        <f t="shared" si="12"/>
        <v>Oct</v>
      </c>
      <c r="E280" s="12">
        <f t="shared" si="13"/>
        <v>2018</v>
      </c>
      <c r="F280" s="6">
        <v>43390</v>
      </c>
      <c r="G280" s="12">
        <f t="shared" si="14"/>
        <v>4</v>
      </c>
      <c r="H280" s="5" t="s">
        <v>46</v>
      </c>
      <c r="I280" s="5" t="s">
        <v>1032</v>
      </c>
      <c r="J280" s="5" t="s">
        <v>1033</v>
      </c>
      <c r="K280" s="5" t="s">
        <v>37</v>
      </c>
      <c r="L280" s="5" t="s">
        <v>23</v>
      </c>
      <c r="M280" s="5" t="s">
        <v>142</v>
      </c>
      <c r="N280" s="5" t="s">
        <v>143</v>
      </c>
      <c r="O280" s="5">
        <v>19140</v>
      </c>
      <c r="P280" s="5" t="s">
        <v>144</v>
      </c>
      <c r="Q280" s="5" t="s">
        <v>1038</v>
      </c>
      <c r="R280" s="5" t="s">
        <v>42</v>
      </c>
      <c r="S280" s="5" t="s">
        <v>55</v>
      </c>
      <c r="T280" s="5" t="s">
        <v>1039</v>
      </c>
      <c r="U280" s="7">
        <v>59.712000000000003</v>
      </c>
    </row>
    <row r="281" spans="1:21" x14ac:dyDescent="0.3">
      <c r="A281" s="8">
        <v>280</v>
      </c>
      <c r="B281" s="9" t="s">
        <v>1031</v>
      </c>
      <c r="C281" s="10">
        <v>43386</v>
      </c>
      <c r="D281" s="6" t="str">
        <f t="shared" si="12"/>
        <v>Oct</v>
      </c>
      <c r="E281" s="12">
        <f t="shared" si="13"/>
        <v>2018</v>
      </c>
      <c r="F281" s="10">
        <v>43390</v>
      </c>
      <c r="G281" s="12">
        <f t="shared" si="14"/>
        <v>4</v>
      </c>
      <c r="H281" s="9" t="s">
        <v>46</v>
      </c>
      <c r="I281" s="9" t="s">
        <v>1032</v>
      </c>
      <c r="J281" s="9" t="s">
        <v>1033</v>
      </c>
      <c r="K281" s="9" t="s">
        <v>37</v>
      </c>
      <c r="L281" s="9" t="s">
        <v>23</v>
      </c>
      <c r="M281" s="9" t="s">
        <v>142</v>
      </c>
      <c r="N281" s="9" t="s">
        <v>143</v>
      </c>
      <c r="O281" s="9">
        <v>19140</v>
      </c>
      <c r="P281" s="9" t="s">
        <v>144</v>
      </c>
      <c r="Q281" s="9" t="s">
        <v>1040</v>
      </c>
      <c r="R281" s="9" t="s">
        <v>42</v>
      </c>
      <c r="S281" s="9" t="s">
        <v>43</v>
      </c>
      <c r="T281" s="9" t="s">
        <v>1041</v>
      </c>
      <c r="U281" s="11">
        <v>24.84</v>
      </c>
    </row>
    <row r="282" spans="1:21" x14ac:dyDescent="0.3">
      <c r="A282" s="4">
        <v>281</v>
      </c>
      <c r="B282" s="5" t="s">
        <v>1042</v>
      </c>
      <c r="C282" s="6">
        <v>42639</v>
      </c>
      <c r="D282" s="6" t="str">
        <f t="shared" si="12"/>
        <v>Sep</v>
      </c>
      <c r="E282" s="12">
        <f t="shared" si="13"/>
        <v>2016</v>
      </c>
      <c r="F282" s="6">
        <v>42641</v>
      </c>
      <c r="G282" s="12">
        <f t="shared" si="14"/>
        <v>2</v>
      </c>
      <c r="H282" s="5" t="s">
        <v>19</v>
      </c>
      <c r="I282" s="5" t="s">
        <v>515</v>
      </c>
      <c r="J282" s="5" t="s">
        <v>516</v>
      </c>
      <c r="K282" s="5" t="s">
        <v>22</v>
      </c>
      <c r="L282" s="5" t="s">
        <v>23</v>
      </c>
      <c r="M282" s="5" t="s">
        <v>180</v>
      </c>
      <c r="N282" s="5" t="s">
        <v>100</v>
      </c>
      <c r="O282" s="5">
        <v>77070</v>
      </c>
      <c r="P282" s="5" t="s">
        <v>101</v>
      </c>
      <c r="Q282" s="5" t="s">
        <v>1043</v>
      </c>
      <c r="R282" s="5" t="s">
        <v>42</v>
      </c>
      <c r="S282" s="5" t="s">
        <v>71</v>
      </c>
      <c r="T282" s="5" t="s">
        <v>1044</v>
      </c>
      <c r="U282" s="7">
        <v>2.08</v>
      </c>
    </row>
    <row r="283" spans="1:21" x14ac:dyDescent="0.3">
      <c r="A283" s="8">
        <v>282</v>
      </c>
      <c r="B283" s="9" t="s">
        <v>1042</v>
      </c>
      <c r="C283" s="10">
        <v>42639</v>
      </c>
      <c r="D283" s="6" t="str">
        <f t="shared" si="12"/>
        <v>Sep</v>
      </c>
      <c r="E283" s="12">
        <f t="shared" si="13"/>
        <v>2016</v>
      </c>
      <c r="F283" s="10">
        <v>42641</v>
      </c>
      <c r="G283" s="12">
        <f t="shared" si="14"/>
        <v>2</v>
      </c>
      <c r="H283" s="9" t="s">
        <v>19</v>
      </c>
      <c r="I283" s="9" t="s">
        <v>515</v>
      </c>
      <c r="J283" s="9" t="s">
        <v>516</v>
      </c>
      <c r="K283" s="9" t="s">
        <v>22</v>
      </c>
      <c r="L283" s="9" t="s">
        <v>23</v>
      </c>
      <c r="M283" s="9" t="s">
        <v>180</v>
      </c>
      <c r="N283" s="9" t="s">
        <v>100</v>
      </c>
      <c r="O283" s="9">
        <v>77070</v>
      </c>
      <c r="P283" s="9" t="s">
        <v>101</v>
      </c>
      <c r="Q283" s="9" t="s">
        <v>1045</v>
      </c>
      <c r="R283" s="9" t="s">
        <v>67</v>
      </c>
      <c r="S283" s="9" t="s">
        <v>68</v>
      </c>
      <c r="T283" s="9" t="s">
        <v>1046</v>
      </c>
      <c r="U283" s="11">
        <v>1114.4000000000001</v>
      </c>
    </row>
    <row r="284" spans="1:21" x14ac:dyDescent="0.3">
      <c r="A284" s="4">
        <v>283</v>
      </c>
      <c r="B284" s="5" t="s">
        <v>1047</v>
      </c>
      <c r="C284" s="6">
        <v>42676</v>
      </c>
      <c r="D284" s="6" t="str">
        <f t="shared" si="12"/>
        <v>Nov</v>
      </c>
      <c r="E284" s="12">
        <f t="shared" si="13"/>
        <v>2016</v>
      </c>
      <c r="F284" s="6">
        <v>42680</v>
      </c>
      <c r="G284" s="12">
        <f t="shared" si="14"/>
        <v>4</v>
      </c>
      <c r="H284" s="5" t="s">
        <v>46</v>
      </c>
      <c r="I284" s="5" t="s">
        <v>1048</v>
      </c>
      <c r="J284" s="5" t="s">
        <v>1049</v>
      </c>
      <c r="K284" s="5" t="s">
        <v>22</v>
      </c>
      <c r="L284" s="5" t="s">
        <v>23</v>
      </c>
      <c r="M284" s="5" t="s">
        <v>38</v>
      </c>
      <c r="N284" s="5" t="s">
        <v>39</v>
      </c>
      <c r="O284" s="5">
        <v>90004</v>
      </c>
      <c r="P284" s="5" t="s">
        <v>40</v>
      </c>
      <c r="Q284" s="5" t="s">
        <v>1050</v>
      </c>
      <c r="R284" s="5" t="s">
        <v>28</v>
      </c>
      <c r="S284" s="5" t="s">
        <v>52</v>
      </c>
      <c r="T284" s="5" t="s">
        <v>1051</v>
      </c>
      <c r="U284" s="7">
        <v>1038.8399999999999</v>
      </c>
    </row>
    <row r="285" spans="1:21" x14ac:dyDescent="0.3">
      <c r="A285" s="8">
        <v>284</v>
      </c>
      <c r="B285" s="9" t="s">
        <v>1052</v>
      </c>
      <c r="C285" s="10">
        <v>42639</v>
      </c>
      <c r="D285" s="6" t="str">
        <f t="shared" si="12"/>
        <v>Sep</v>
      </c>
      <c r="E285" s="12">
        <f t="shared" si="13"/>
        <v>2016</v>
      </c>
      <c r="F285" s="10">
        <v>42645</v>
      </c>
      <c r="G285" s="12">
        <f t="shared" si="14"/>
        <v>6</v>
      </c>
      <c r="H285" s="9" t="s">
        <v>46</v>
      </c>
      <c r="I285" s="9" t="s">
        <v>160</v>
      </c>
      <c r="J285" s="9" t="s">
        <v>161</v>
      </c>
      <c r="K285" s="9" t="s">
        <v>22</v>
      </c>
      <c r="L285" s="9" t="s">
        <v>23</v>
      </c>
      <c r="M285" s="9" t="s">
        <v>415</v>
      </c>
      <c r="N285" s="9" t="s">
        <v>416</v>
      </c>
      <c r="O285" s="9">
        <v>97206</v>
      </c>
      <c r="P285" s="9" t="s">
        <v>40</v>
      </c>
      <c r="Q285" s="9" t="s">
        <v>1053</v>
      </c>
      <c r="R285" s="9" t="s">
        <v>42</v>
      </c>
      <c r="S285" s="9" t="s">
        <v>86</v>
      </c>
      <c r="T285" s="9" t="s">
        <v>182</v>
      </c>
      <c r="U285" s="11">
        <v>141.76</v>
      </c>
    </row>
    <row r="286" spans="1:21" x14ac:dyDescent="0.3">
      <c r="A286" s="4">
        <v>285</v>
      </c>
      <c r="B286" s="5" t="s">
        <v>1052</v>
      </c>
      <c r="C286" s="6">
        <v>42639</v>
      </c>
      <c r="D286" s="6" t="str">
        <f t="shared" si="12"/>
        <v>Sep</v>
      </c>
      <c r="E286" s="12">
        <f t="shared" si="13"/>
        <v>2016</v>
      </c>
      <c r="F286" s="6">
        <v>42645</v>
      </c>
      <c r="G286" s="12">
        <f t="shared" si="14"/>
        <v>6</v>
      </c>
      <c r="H286" s="5" t="s">
        <v>46</v>
      </c>
      <c r="I286" s="5" t="s">
        <v>160</v>
      </c>
      <c r="J286" s="5" t="s">
        <v>161</v>
      </c>
      <c r="K286" s="5" t="s">
        <v>22</v>
      </c>
      <c r="L286" s="5" t="s">
        <v>23</v>
      </c>
      <c r="M286" s="5" t="s">
        <v>415</v>
      </c>
      <c r="N286" s="5" t="s">
        <v>416</v>
      </c>
      <c r="O286" s="5">
        <v>97206</v>
      </c>
      <c r="P286" s="5" t="s">
        <v>40</v>
      </c>
      <c r="Q286" s="5" t="s">
        <v>1054</v>
      </c>
      <c r="R286" s="5" t="s">
        <v>67</v>
      </c>
      <c r="S286" s="5" t="s">
        <v>157</v>
      </c>
      <c r="T286" s="5" t="s">
        <v>1055</v>
      </c>
      <c r="U286" s="7">
        <v>239.8</v>
      </c>
    </row>
    <row r="287" spans="1:21" x14ac:dyDescent="0.3">
      <c r="A287" s="8">
        <v>286</v>
      </c>
      <c r="B287" s="9" t="s">
        <v>1052</v>
      </c>
      <c r="C287" s="10">
        <v>42639</v>
      </c>
      <c r="D287" s="6" t="str">
        <f t="shared" si="12"/>
        <v>Sep</v>
      </c>
      <c r="E287" s="12">
        <f t="shared" si="13"/>
        <v>2016</v>
      </c>
      <c r="F287" s="10">
        <v>42645</v>
      </c>
      <c r="G287" s="12">
        <f t="shared" si="14"/>
        <v>6</v>
      </c>
      <c r="H287" s="9" t="s">
        <v>46</v>
      </c>
      <c r="I287" s="9" t="s">
        <v>160</v>
      </c>
      <c r="J287" s="9" t="s">
        <v>161</v>
      </c>
      <c r="K287" s="9" t="s">
        <v>22</v>
      </c>
      <c r="L287" s="9" t="s">
        <v>23</v>
      </c>
      <c r="M287" s="9" t="s">
        <v>415</v>
      </c>
      <c r="N287" s="9" t="s">
        <v>416</v>
      </c>
      <c r="O287" s="9">
        <v>97206</v>
      </c>
      <c r="P287" s="9" t="s">
        <v>40</v>
      </c>
      <c r="Q287" s="9" t="s">
        <v>1056</v>
      </c>
      <c r="R287" s="9" t="s">
        <v>42</v>
      </c>
      <c r="S287" s="9" t="s">
        <v>86</v>
      </c>
      <c r="T287" s="9" t="s">
        <v>1057</v>
      </c>
      <c r="U287" s="11">
        <v>31.103999999999999</v>
      </c>
    </row>
    <row r="288" spans="1:21" x14ac:dyDescent="0.3">
      <c r="A288" s="4">
        <v>287</v>
      </c>
      <c r="B288" s="5" t="s">
        <v>1058</v>
      </c>
      <c r="C288" s="6">
        <v>43087</v>
      </c>
      <c r="D288" s="6" t="str">
        <f t="shared" si="12"/>
        <v>Dec</v>
      </c>
      <c r="E288" s="12">
        <f t="shared" si="13"/>
        <v>2017</v>
      </c>
      <c r="F288" s="6">
        <v>43089</v>
      </c>
      <c r="G288" s="12">
        <f t="shared" si="14"/>
        <v>2</v>
      </c>
      <c r="H288" s="5" t="s">
        <v>19</v>
      </c>
      <c r="I288" s="5" t="s">
        <v>1059</v>
      </c>
      <c r="J288" s="5" t="s">
        <v>1060</v>
      </c>
      <c r="K288" s="5" t="s">
        <v>37</v>
      </c>
      <c r="L288" s="5" t="s">
        <v>23</v>
      </c>
      <c r="M288" s="5" t="s">
        <v>1061</v>
      </c>
      <c r="N288" s="5" t="s">
        <v>50</v>
      </c>
      <c r="O288" s="5">
        <v>33319</v>
      </c>
      <c r="P288" s="5" t="s">
        <v>26</v>
      </c>
      <c r="Q288" s="5" t="s">
        <v>1062</v>
      </c>
      <c r="R288" s="5" t="s">
        <v>42</v>
      </c>
      <c r="S288" s="5" t="s">
        <v>71</v>
      </c>
      <c r="T288" s="5" t="s">
        <v>1063</v>
      </c>
      <c r="U288" s="7">
        <v>254.05799999999999</v>
      </c>
    </row>
    <row r="289" spans="1:21" x14ac:dyDescent="0.3">
      <c r="A289" s="8">
        <v>288</v>
      </c>
      <c r="B289" s="9" t="s">
        <v>1058</v>
      </c>
      <c r="C289" s="10">
        <v>43087</v>
      </c>
      <c r="D289" s="6" t="str">
        <f t="shared" si="12"/>
        <v>Dec</v>
      </c>
      <c r="E289" s="12">
        <f t="shared" si="13"/>
        <v>2017</v>
      </c>
      <c r="F289" s="10">
        <v>43089</v>
      </c>
      <c r="G289" s="12">
        <f t="shared" si="14"/>
        <v>2</v>
      </c>
      <c r="H289" s="9" t="s">
        <v>19</v>
      </c>
      <c r="I289" s="9" t="s">
        <v>1059</v>
      </c>
      <c r="J289" s="9" t="s">
        <v>1060</v>
      </c>
      <c r="K289" s="9" t="s">
        <v>37</v>
      </c>
      <c r="L289" s="9" t="s">
        <v>23</v>
      </c>
      <c r="M289" s="9" t="s">
        <v>1061</v>
      </c>
      <c r="N289" s="9" t="s">
        <v>50</v>
      </c>
      <c r="O289" s="9">
        <v>33319</v>
      </c>
      <c r="P289" s="9" t="s">
        <v>26</v>
      </c>
      <c r="Q289" s="9" t="s">
        <v>711</v>
      </c>
      <c r="R289" s="9" t="s">
        <v>42</v>
      </c>
      <c r="S289" s="9" t="s">
        <v>74</v>
      </c>
      <c r="T289" s="9" t="s">
        <v>712</v>
      </c>
      <c r="U289" s="11">
        <v>194.52799999999999</v>
      </c>
    </row>
    <row r="290" spans="1:21" x14ac:dyDescent="0.3">
      <c r="A290" s="4">
        <v>289</v>
      </c>
      <c r="B290" s="5" t="s">
        <v>1058</v>
      </c>
      <c r="C290" s="6">
        <v>43087</v>
      </c>
      <c r="D290" s="6" t="str">
        <f t="shared" si="12"/>
        <v>Dec</v>
      </c>
      <c r="E290" s="12">
        <f t="shared" si="13"/>
        <v>2017</v>
      </c>
      <c r="F290" s="6">
        <v>43089</v>
      </c>
      <c r="G290" s="12">
        <f t="shared" si="14"/>
        <v>2</v>
      </c>
      <c r="H290" s="5" t="s">
        <v>19</v>
      </c>
      <c r="I290" s="5" t="s">
        <v>1059</v>
      </c>
      <c r="J290" s="5" t="s">
        <v>1060</v>
      </c>
      <c r="K290" s="5" t="s">
        <v>37</v>
      </c>
      <c r="L290" s="5" t="s">
        <v>23</v>
      </c>
      <c r="M290" s="5" t="s">
        <v>1061</v>
      </c>
      <c r="N290" s="5" t="s">
        <v>50</v>
      </c>
      <c r="O290" s="5">
        <v>33319</v>
      </c>
      <c r="P290" s="5" t="s">
        <v>26</v>
      </c>
      <c r="Q290" s="5" t="s">
        <v>1064</v>
      </c>
      <c r="R290" s="5" t="s">
        <v>42</v>
      </c>
      <c r="S290" s="5" t="s">
        <v>575</v>
      </c>
      <c r="T290" s="5" t="s">
        <v>1065</v>
      </c>
      <c r="U290" s="7">
        <v>961.48</v>
      </c>
    </row>
    <row r="291" spans="1:21" x14ac:dyDescent="0.3">
      <c r="A291" s="8">
        <v>290</v>
      </c>
      <c r="B291" s="9" t="s">
        <v>1066</v>
      </c>
      <c r="C291" s="10">
        <v>43059</v>
      </c>
      <c r="D291" s="6" t="str">
        <f t="shared" si="12"/>
        <v>Nov</v>
      </c>
      <c r="E291" s="12">
        <f t="shared" si="13"/>
        <v>2017</v>
      </c>
      <c r="F291" s="10">
        <v>43063</v>
      </c>
      <c r="G291" s="12">
        <f t="shared" si="14"/>
        <v>4</v>
      </c>
      <c r="H291" s="9" t="s">
        <v>19</v>
      </c>
      <c r="I291" s="9" t="s">
        <v>1067</v>
      </c>
      <c r="J291" s="9" t="s">
        <v>1068</v>
      </c>
      <c r="K291" s="9" t="s">
        <v>98</v>
      </c>
      <c r="L291" s="9" t="s">
        <v>23</v>
      </c>
      <c r="M291" s="9" t="s">
        <v>493</v>
      </c>
      <c r="N291" s="9" t="s">
        <v>494</v>
      </c>
      <c r="O291" s="9">
        <v>43229</v>
      </c>
      <c r="P291" s="9" t="s">
        <v>144</v>
      </c>
      <c r="Q291" s="9" t="s">
        <v>1069</v>
      </c>
      <c r="R291" s="9" t="s">
        <v>42</v>
      </c>
      <c r="S291" s="9" t="s">
        <v>265</v>
      </c>
      <c r="T291" s="9" t="s">
        <v>1070</v>
      </c>
      <c r="U291" s="11">
        <v>19.096</v>
      </c>
    </row>
    <row r="292" spans="1:21" x14ac:dyDescent="0.3">
      <c r="A292" s="4">
        <v>291</v>
      </c>
      <c r="B292" s="5" t="s">
        <v>1066</v>
      </c>
      <c r="C292" s="6">
        <v>43059</v>
      </c>
      <c r="D292" s="6" t="str">
        <f t="shared" si="12"/>
        <v>Nov</v>
      </c>
      <c r="E292" s="12">
        <f t="shared" si="13"/>
        <v>2017</v>
      </c>
      <c r="F292" s="6">
        <v>43063</v>
      </c>
      <c r="G292" s="12">
        <f t="shared" si="14"/>
        <v>4</v>
      </c>
      <c r="H292" s="5" t="s">
        <v>19</v>
      </c>
      <c r="I292" s="5" t="s">
        <v>1067</v>
      </c>
      <c r="J292" s="5" t="s">
        <v>1068</v>
      </c>
      <c r="K292" s="5" t="s">
        <v>98</v>
      </c>
      <c r="L292" s="5" t="s">
        <v>23</v>
      </c>
      <c r="M292" s="5" t="s">
        <v>493</v>
      </c>
      <c r="N292" s="5" t="s">
        <v>494</v>
      </c>
      <c r="O292" s="5">
        <v>43229</v>
      </c>
      <c r="P292" s="5" t="s">
        <v>144</v>
      </c>
      <c r="Q292" s="5" t="s">
        <v>1071</v>
      </c>
      <c r="R292" s="5" t="s">
        <v>42</v>
      </c>
      <c r="S292" s="5" t="s">
        <v>43</v>
      </c>
      <c r="T292" s="5" t="s">
        <v>1072</v>
      </c>
      <c r="U292" s="7">
        <v>18.495999999999999</v>
      </c>
    </row>
    <row r="293" spans="1:21" x14ac:dyDescent="0.3">
      <c r="A293" s="8">
        <v>292</v>
      </c>
      <c r="B293" s="9" t="s">
        <v>1066</v>
      </c>
      <c r="C293" s="10">
        <v>43059</v>
      </c>
      <c r="D293" s="6" t="str">
        <f t="shared" si="12"/>
        <v>Nov</v>
      </c>
      <c r="E293" s="12">
        <f t="shared" si="13"/>
        <v>2017</v>
      </c>
      <c r="F293" s="10">
        <v>43063</v>
      </c>
      <c r="G293" s="12">
        <f t="shared" si="14"/>
        <v>4</v>
      </c>
      <c r="H293" s="9" t="s">
        <v>19</v>
      </c>
      <c r="I293" s="9" t="s">
        <v>1067</v>
      </c>
      <c r="J293" s="9" t="s">
        <v>1068</v>
      </c>
      <c r="K293" s="9" t="s">
        <v>98</v>
      </c>
      <c r="L293" s="9" t="s">
        <v>23</v>
      </c>
      <c r="M293" s="9" t="s">
        <v>493</v>
      </c>
      <c r="N293" s="9" t="s">
        <v>494</v>
      </c>
      <c r="O293" s="9">
        <v>43229</v>
      </c>
      <c r="P293" s="9" t="s">
        <v>144</v>
      </c>
      <c r="Q293" s="9" t="s">
        <v>1073</v>
      </c>
      <c r="R293" s="9" t="s">
        <v>67</v>
      </c>
      <c r="S293" s="9" t="s">
        <v>157</v>
      </c>
      <c r="T293" s="9" t="s">
        <v>1074</v>
      </c>
      <c r="U293" s="11">
        <v>255.98400000000001</v>
      </c>
    </row>
    <row r="294" spans="1:21" x14ac:dyDescent="0.3">
      <c r="A294" s="4">
        <v>293</v>
      </c>
      <c r="B294" s="5" t="s">
        <v>1066</v>
      </c>
      <c r="C294" s="6">
        <v>43059</v>
      </c>
      <c r="D294" s="6" t="str">
        <f t="shared" si="12"/>
        <v>Nov</v>
      </c>
      <c r="E294" s="12">
        <f t="shared" si="13"/>
        <v>2017</v>
      </c>
      <c r="F294" s="6">
        <v>43063</v>
      </c>
      <c r="G294" s="12">
        <f t="shared" si="14"/>
        <v>4</v>
      </c>
      <c r="H294" s="5" t="s">
        <v>19</v>
      </c>
      <c r="I294" s="5" t="s">
        <v>1067</v>
      </c>
      <c r="J294" s="5" t="s">
        <v>1068</v>
      </c>
      <c r="K294" s="5" t="s">
        <v>98</v>
      </c>
      <c r="L294" s="5" t="s">
        <v>23</v>
      </c>
      <c r="M294" s="5" t="s">
        <v>493</v>
      </c>
      <c r="N294" s="5" t="s">
        <v>494</v>
      </c>
      <c r="O294" s="5">
        <v>43229</v>
      </c>
      <c r="P294" s="5" t="s">
        <v>144</v>
      </c>
      <c r="Q294" s="5" t="s">
        <v>1075</v>
      </c>
      <c r="R294" s="5" t="s">
        <v>28</v>
      </c>
      <c r="S294" s="5" t="s">
        <v>29</v>
      </c>
      <c r="T294" s="5" t="s">
        <v>1076</v>
      </c>
      <c r="U294" s="7">
        <v>86.97</v>
      </c>
    </row>
    <row r="295" spans="1:21" x14ac:dyDescent="0.3">
      <c r="A295" s="8">
        <v>294</v>
      </c>
      <c r="B295" s="9" t="s">
        <v>1077</v>
      </c>
      <c r="C295" s="10">
        <v>42364</v>
      </c>
      <c r="D295" s="6" t="str">
        <f t="shared" si="12"/>
        <v>Dec</v>
      </c>
      <c r="E295" s="12">
        <f t="shared" si="13"/>
        <v>2015</v>
      </c>
      <c r="F295" s="10">
        <v>42366</v>
      </c>
      <c r="G295" s="12">
        <f t="shared" si="14"/>
        <v>2</v>
      </c>
      <c r="H295" s="9" t="s">
        <v>184</v>
      </c>
      <c r="I295" s="9" t="s">
        <v>1078</v>
      </c>
      <c r="J295" s="9" t="s">
        <v>1079</v>
      </c>
      <c r="K295" s="9" t="s">
        <v>37</v>
      </c>
      <c r="L295" s="9" t="s">
        <v>23</v>
      </c>
      <c r="M295" s="9" t="s">
        <v>1080</v>
      </c>
      <c r="N295" s="9" t="s">
        <v>453</v>
      </c>
      <c r="O295" s="9">
        <v>80906</v>
      </c>
      <c r="P295" s="9" t="s">
        <v>40</v>
      </c>
      <c r="Q295" s="9" t="s">
        <v>1081</v>
      </c>
      <c r="R295" s="9" t="s">
        <v>28</v>
      </c>
      <c r="S295" s="9" t="s">
        <v>61</v>
      </c>
      <c r="T295" s="9" t="s">
        <v>1082</v>
      </c>
      <c r="U295" s="11">
        <v>300.416</v>
      </c>
    </row>
    <row r="296" spans="1:21" x14ac:dyDescent="0.3">
      <c r="A296" s="4">
        <v>295</v>
      </c>
      <c r="B296" s="5" t="s">
        <v>1077</v>
      </c>
      <c r="C296" s="6">
        <v>42364</v>
      </c>
      <c r="D296" s="6" t="str">
        <f t="shared" si="12"/>
        <v>Dec</v>
      </c>
      <c r="E296" s="12">
        <f t="shared" si="13"/>
        <v>2015</v>
      </c>
      <c r="F296" s="6">
        <v>42366</v>
      </c>
      <c r="G296" s="12">
        <f t="shared" si="14"/>
        <v>2</v>
      </c>
      <c r="H296" s="5" t="s">
        <v>184</v>
      </c>
      <c r="I296" s="5" t="s">
        <v>1078</v>
      </c>
      <c r="J296" s="5" t="s">
        <v>1079</v>
      </c>
      <c r="K296" s="5" t="s">
        <v>37</v>
      </c>
      <c r="L296" s="5" t="s">
        <v>23</v>
      </c>
      <c r="M296" s="5" t="s">
        <v>1080</v>
      </c>
      <c r="N296" s="5" t="s">
        <v>453</v>
      </c>
      <c r="O296" s="5">
        <v>80906</v>
      </c>
      <c r="P296" s="5" t="s">
        <v>40</v>
      </c>
      <c r="Q296" s="5" t="s">
        <v>1083</v>
      </c>
      <c r="R296" s="5" t="s">
        <v>28</v>
      </c>
      <c r="S296" s="5" t="s">
        <v>32</v>
      </c>
      <c r="T296" s="5" t="s">
        <v>1084</v>
      </c>
      <c r="U296" s="7">
        <v>230.352</v>
      </c>
    </row>
    <row r="297" spans="1:21" x14ac:dyDescent="0.3">
      <c r="A297" s="8">
        <v>296</v>
      </c>
      <c r="B297" s="9" t="s">
        <v>1077</v>
      </c>
      <c r="C297" s="10">
        <v>42364</v>
      </c>
      <c r="D297" s="6" t="str">
        <f t="shared" si="12"/>
        <v>Dec</v>
      </c>
      <c r="E297" s="12">
        <f t="shared" si="13"/>
        <v>2015</v>
      </c>
      <c r="F297" s="10">
        <v>42366</v>
      </c>
      <c r="G297" s="12">
        <f t="shared" si="14"/>
        <v>2</v>
      </c>
      <c r="H297" s="9" t="s">
        <v>184</v>
      </c>
      <c r="I297" s="9" t="s">
        <v>1078</v>
      </c>
      <c r="J297" s="9" t="s">
        <v>1079</v>
      </c>
      <c r="K297" s="9" t="s">
        <v>37</v>
      </c>
      <c r="L297" s="9" t="s">
        <v>23</v>
      </c>
      <c r="M297" s="9" t="s">
        <v>1080</v>
      </c>
      <c r="N297" s="9" t="s">
        <v>453</v>
      </c>
      <c r="O297" s="9">
        <v>80906</v>
      </c>
      <c r="P297" s="9" t="s">
        <v>40</v>
      </c>
      <c r="Q297" s="9" t="s">
        <v>1085</v>
      </c>
      <c r="R297" s="9" t="s">
        <v>28</v>
      </c>
      <c r="S297" s="9" t="s">
        <v>61</v>
      </c>
      <c r="T297" s="9" t="s">
        <v>1086</v>
      </c>
      <c r="U297" s="11">
        <v>218.352</v>
      </c>
    </row>
    <row r="298" spans="1:21" x14ac:dyDescent="0.3">
      <c r="A298" s="4">
        <v>297</v>
      </c>
      <c r="B298" s="5" t="s">
        <v>1077</v>
      </c>
      <c r="C298" s="6">
        <v>42364</v>
      </c>
      <c r="D298" s="6" t="str">
        <f t="shared" si="12"/>
        <v>Dec</v>
      </c>
      <c r="E298" s="12">
        <f t="shared" si="13"/>
        <v>2015</v>
      </c>
      <c r="F298" s="6">
        <v>42366</v>
      </c>
      <c r="G298" s="12">
        <f t="shared" si="14"/>
        <v>2</v>
      </c>
      <c r="H298" s="5" t="s">
        <v>184</v>
      </c>
      <c r="I298" s="5" t="s">
        <v>1078</v>
      </c>
      <c r="J298" s="5" t="s">
        <v>1079</v>
      </c>
      <c r="K298" s="5" t="s">
        <v>37</v>
      </c>
      <c r="L298" s="5" t="s">
        <v>23</v>
      </c>
      <c r="M298" s="5" t="s">
        <v>1080</v>
      </c>
      <c r="N298" s="5" t="s">
        <v>453</v>
      </c>
      <c r="O298" s="5">
        <v>80906</v>
      </c>
      <c r="P298" s="5" t="s">
        <v>40</v>
      </c>
      <c r="Q298" s="5" t="s">
        <v>1087</v>
      </c>
      <c r="R298" s="5" t="s">
        <v>42</v>
      </c>
      <c r="S298" s="5" t="s">
        <v>71</v>
      </c>
      <c r="T298" s="5" t="s">
        <v>1088</v>
      </c>
      <c r="U298" s="7">
        <v>78.599999999999994</v>
      </c>
    </row>
    <row r="299" spans="1:21" x14ac:dyDescent="0.3">
      <c r="A299" s="8">
        <v>298</v>
      </c>
      <c r="B299" s="9" t="s">
        <v>1077</v>
      </c>
      <c r="C299" s="10">
        <v>42364</v>
      </c>
      <c r="D299" s="6" t="str">
        <f t="shared" si="12"/>
        <v>Dec</v>
      </c>
      <c r="E299" s="12">
        <f t="shared" si="13"/>
        <v>2015</v>
      </c>
      <c r="F299" s="10">
        <v>42366</v>
      </c>
      <c r="G299" s="12">
        <f t="shared" si="14"/>
        <v>2</v>
      </c>
      <c r="H299" s="9" t="s">
        <v>184</v>
      </c>
      <c r="I299" s="9" t="s">
        <v>1078</v>
      </c>
      <c r="J299" s="9" t="s">
        <v>1079</v>
      </c>
      <c r="K299" s="9" t="s">
        <v>37</v>
      </c>
      <c r="L299" s="9" t="s">
        <v>23</v>
      </c>
      <c r="M299" s="9" t="s">
        <v>1080</v>
      </c>
      <c r="N299" s="9" t="s">
        <v>453</v>
      </c>
      <c r="O299" s="9">
        <v>80906</v>
      </c>
      <c r="P299" s="9" t="s">
        <v>40</v>
      </c>
      <c r="Q299" s="9" t="s">
        <v>1089</v>
      </c>
      <c r="R299" s="9" t="s">
        <v>42</v>
      </c>
      <c r="S299" s="9" t="s">
        <v>265</v>
      </c>
      <c r="T299" s="9" t="s">
        <v>1090</v>
      </c>
      <c r="U299" s="11">
        <v>27.552</v>
      </c>
    </row>
    <row r="300" spans="1:21" x14ac:dyDescent="0.3">
      <c r="A300" s="4">
        <v>299</v>
      </c>
      <c r="B300" s="5" t="s">
        <v>1091</v>
      </c>
      <c r="C300" s="6">
        <v>43036</v>
      </c>
      <c r="D300" s="6" t="str">
        <f t="shared" si="12"/>
        <v>Oct</v>
      </c>
      <c r="E300" s="12">
        <f t="shared" si="13"/>
        <v>2017</v>
      </c>
      <c r="F300" s="6">
        <v>43042</v>
      </c>
      <c r="G300" s="12">
        <f t="shared" si="14"/>
        <v>6</v>
      </c>
      <c r="H300" s="5" t="s">
        <v>46</v>
      </c>
      <c r="I300" s="5" t="s">
        <v>578</v>
      </c>
      <c r="J300" s="5" t="s">
        <v>579</v>
      </c>
      <c r="K300" s="5" t="s">
        <v>37</v>
      </c>
      <c r="L300" s="5" t="s">
        <v>23</v>
      </c>
      <c r="M300" s="5" t="s">
        <v>1092</v>
      </c>
      <c r="N300" s="5" t="s">
        <v>786</v>
      </c>
      <c r="O300" s="5">
        <v>7109</v>
      </c>
      <c r="P300" s="5" t="s">
        <v>144</v>
      </c>
      <c r="Q300" s="5" t="s">
        <v>1093</v>
      </c>
      <c r="R300" s="5" t="s">
        <v>42</v>
      </c>
      <c r="S300" s="5" t="s">
        <v>86</v>
      </c>
      <c r="T300" s="5" t="s">
        <v>1094</v>
      </c>
      <c r="U300" s="7">
        <v>32.4</v>
      </c>
    </row>
    <row r="301" spans="1:21" x14ac:dyDescent="0.3">
      <c r="A301" s="8">
        <v>300</v>
      </c>
      <c r="B301" s="9" t="s">
        <v>1091</v>
      </c>
      <c r="C301" s="10">
        <v>43036</v>
      </c>
      <c r="D301" s="6" t="str">
        <f t="shared" si="12"/>
        <v>Oct</v>
      </c>
      <c r="E301" s="12">
        <f t="shared" si="13"/>
        <v>2017</v>
      </c>
      <c r="F301" s="10">
        <v>43042</v>
      </c>
      <c r="G301" s="12">
        <f t="shared" si="14"/>
        <v>6</v>
      </c>
      <c r="H301" s="9" t="s">
        <v>46</v>
      </c>
      <c r="I301" s="9" t="s">
        <v>578</v>
      </c>
      <c r="J301" s="9" t="s">
        <v>579</v>
      </c>
      <c r="K301" s="9" t="s">
        <v>37</v>
      </c>
      <c r="L301" s="9" t="s">
        <v>23</v>
      </c>
      <c r="M301" s="9" t="s">
        <v>1092</v>
      </c>
      <c r="N301" s="9" t="s">
        <v>786</v>
      </c>
      <c r="O301" s="9">
        <v>7109</v>
      </c>
      <c r="P301" s="9" t="s">
        <v>144</v>
      </c>
      <c r="Q301" s="9" t="s">
        <v>1095</v>
      </c>
      <c r="R301" s="9" t="s">
        <v>42</v>
      </c>
      <c r="S301" s="9" t="s">
        <v>55</v>
      </c>
      <c r="T301" s="9" t="s">
        <v>1096</v>
      </c>
      <c r="U301" s="11">
        <v>1082.48</v>
      </c>
    </row>
    <row r="302" spans="1:21" x14ac:dyDescent="0.3">
      <c r="A302" s="4">
        <v>301</v>
      </c>
      <c r="B302" s="5" t="s">
        <v>1091</v>
      </c>
      <c r="C302" s="6">
        <v>43036</v>
      </c>
      <c r="D302" s="6" t="str">
        <f t="shared" si="12"/>
        <v>Oct</v>
      </c>
      <c r="E302" s="12">
        <f t="shared" si="13"/>
        <v>2017</v>
      </c>
      <c r="F302" s="6">
        <v>43042</v>
      </c>
      <c r="G302" s="12">
        <f t="shared" si="14"/>
        <v>6</v>
      </c>
      <c r="H302" s="5" t="s">
        <v>46</v>
      </c>
      <c r="I302" s="5" t="s">
        <v>578</v>
      </c>
      <c r="J302" s="5" t="s">
        <v>579</v>
      </c>
      <c r="K302" s="5" t="s">
        <v>37</v>
      </c>
      <c r="L302" s="5" t="s">
        <v>23</v>
      </c>
      <c r="M302" s="5" t="s">
        <v>1092</v>
      </c>
      <c r="N302" s="5" t="s">
        <v>786</v>
      </c>
      <c r="O302" s="5">
        <v>7109</v>
      </c>
      <c r="P302" s="5" t="s">
        <v>144</v>
      </c>
      <c r="Q302" s="5" t="s">
        <v>1097</v>
      </c>
      <c r="R302" s="5" t="s">
        <v>42</v>
      </c>
      <c r="S302" s="5" t="s">
        <v>86</v>
      </c>
      <c r="T302" s="5" t="s">
        <v>1098</v>
      </c>
      <c r="U302" s="7">
        <v>56.91</v>
      </c>
    </row>
    <row r="303" spans="1:21" x14ac:dyDescent="0.3">
      <c r="A303" s="8">
        <v>302</v>
      </c>
      <c r="B303" s="9" t="s">
        <v>1091</v>
      </c>
      <c r="C303" s="10">
        <v>43036</v>
      </c>
      <c r="D303" s="6" t="str">
        <f t="shared" si="12"/>
        <v>Oct</v>
      </c>
      <c r="E303" s="12">
        <f t="shared" si="13"/>
        <v>2017</v>
      </c>
      <c r="F303" s="10">
        <v>43042</v>
      </c>
      <c r="G303" s="12">
        <f t="shared" si="14"/>
        <v>6</v>
      </c>
      <c r="H303" s="9" t="s">
        <v>46</v>
      </c>
      <c r="I303" s="9" t="s">
        <v>578</v>
      </c>
      <c r="J303" s="9" t="s">
        <v>579</v>
      </c>
      <c r="K303" s="9" t="s">
        <v>37</v>
      </c>
      <c r="L303" s="9" t="s">
        <v>23</v>
      </c>
      <c r="M303" s="9" t="s">
        <v>1092</v>
      </c>
      <c r="N303" s="9" t="s">
        <v>786</v>
      </c>
      <c r="O303" s="9">
        <v>7109</v>
      </c>
      <c r="P303" s="9" t="s">
        <v>144</v>
      </c>
      <c r="Q303" s="9" t="s">
        <v>1099</v>
      </c>
      <c r="R303" s="9" t="s">
        <v>28</v>
      </c>
      <c r="S303" s="9" t="s">
        <v>61</v>
      </c>
      <c r="T303" s="9" t="s">
        <v>1100</v>
      </c>
      <c r="U303" s="11">
        <v>77.599999999999994</v>
      </c>
    </row>
    <row r="304" spans="1:21" x14ac:dyDescent="0.3">
      <c r="A304" s="4">
        <v>303</v>
      </c>
      <c r="B304" s="5" t="s">
        <v>1091</v>
      </c>
      <c r="C304" s="6">
        <v>43036</v>
      </c>
      <c r="D304" s="6" t="str">
        <f t="shared" si="12"/>
        <v>Oct</v>
      </c>
      <c r="E304" s="12">
        <f t="shared" si="13"/>
        <v>2017</v>
      </c>
      <c r="F304" s="6">
        <v>43042</v>
      </c>
      <c r="G304" s="12">
        <f t="shared" si="14"/>
        <v>6</v>
      </c>
      <c r="H304" s="5" t="s">
        <v>46</v>
      </c>
      <c r="I304" s="5" t="s">
        <v>578</v>
      </c>
      <c r="J304" s="5" t="s">
        <v>579</v>
      </c>
      <c r="K304" s="5" t="s">
        <v>37</v>
      </c>
      <c r="L304" s="5" t="s">
        <v>23</v>
      </c>
      <c r="M304" s="5" t="s">
        <v>1092</v>
      </c>
      <c r="N304" s="5" t="s">
        <v>786</v>
      </c>
      <c r="O304" s="5">
        <v>7109</v>
      </c>
      <c r="P304" s="5" t="s">
        <v>144</v>
      </c>
      <c r="Q304" s="5" t="s">
        <v>1101</v>
      </c>
      <c r="R304" s="5" t="s">
        <v>42</v>
      </c>
      <c r="S304" s="5" t="s">
        <v>71</v>
      </c>
      <c r="T304" s="5" t="s">
        <v>1102</v>
      </c>
      <c r="U304" s="7">
        <v>14.28</v>
      </c>
    </row>
    <row r="305" spans="1:21" x14ac:dyDescent="0.3">
      <c r="A305" s="8">
        <v>304</v>
      </c>
      <c r="B305" s="9" t="s">
        <v>1103</v>
      </c>
      <c r="C305" s="10">
        <v>43423</v>
      </c>
      <c r="D305" s="6" t="str">
        <f t="shared" si="12"/>
        <v>Nov</v>
      </c>
      <c r="E305" s="12">
        <f t="shared" si="13"/>
        <v>2018</v>
      </c>
      <c r="F305" s="10">
        <v>43427</v>
      </c>
      <c r="G305" s="12">
        <f t="shared" si="14"/>
        <v>4</v>
      </c>
      <c r="H305" s="9" t="s">
        <v>46</v>
      </c>
      <c r="I305" s="9" t="s">
        <v>857</v>
      </c>
      <c r="J305" s="9" t="s">
        <v>858</v>
      </c>
      <c r="K305" s="9" t="s">
        <v>22</v>
      </c>
      <c r="L305" s="9" t="s">
        <v>23</v>
      </c>
      <c r="M305" s="9" t="s">
        <v>299</v>
      </c>
      <c r="N305" s="9" t="s">
        <v>207</v>
      </c>
      <c r="O305" s="9">
        <v>60623</v>
      </c>
      <c r="P305" s="9" t="s">
        <v>101</v>
      </c>
      <c r="Q305" s="9" t="s">
        <v>1104</v>
      </c>
      <c r="R305" s="9" t="s">
        <v>28</v>
      </c>
      <c r="S305" s="9" t="s">
        <v>52</v>
      </c>
      <c r="T305" s="9" t="s">
        <v>1105</v>
      </c>
      <c r="U305" s="11">
        <v>219.07499999999999</v>
      </c>
    </row>
    <row r="306" spans="1:21" x14ac:dyDescent="0.3">
      <c r="A306" s="4">
        <v>305</v>
      </c>
      <c r="B306" s="5" t="s">
        <v>1106</v>
      </c>
      <c r="C306" s="6">
        <v>42494</v>
      </c>
      <c r="D306" s="6" t="str">
        <f t="shared" si="12"/>
        <v>May</v>
      </c>
      <c r="E306" s="12">
        <f t="shared" si="13"/>
        <v>2016</v>
      </c>
      <c r="F306" s="6">
        <v>42499</v>
      </c>
      <c r="G306" s="12">
        <f t="shared" si="14"/>
        <v>5</v>
      </c>
      <c r="H306" s="5" t="s">
        <v>19</v>
      </c>
      <c r="I306" s="5" t="s">
        <v>1107</v>
      </c>
      <c r="J306" s="5" t="s">
        <v>1108</v>
      </c>
      <c r="K306" s="5" t="s">
        <v>37</v>
      </c>
      <c r="L306" s="5" t="s">
        <v>23</v>
      </c>
      <c r="M306" s="5" t="s">
        <v>262</v>
      </c>
      <c r="N306" s="5" t="s">
        <v>263</v>
      </c>
      <c r="O306" s="5">
        <v>10024</v>
      </c>
      <c r="P306" s="5" t="s">
        <v>144</v>
      </c>
      <c r="Q306" s="5" t="s">
        <v>1109</v>
      </c>
      <c r="R306" s="5" t="s">
        <v>28</v>
      </c>
      <c r="S306" s="5" t="s">
        <v>61</v>
      </c>
      <c r="T306" s="5" t="s">
        <v>1110</v>
      </c>
      <c r="U306" s="7">
        <v>26.8</v>
      </c>
    </row>
    <row r="307" spans="1:21" x14ac:dyDescent="0.3">
      <c r="A307" s="8">
        <v>306</v>
      </c>
      <c r="B307" s="9" t="s">
        <v>1111</v>
      </c>
      <c r="C307" s="10">
        <v>42368</v>
      </c>
      <c r="D307" s="6" t="str">
        <f t="shared" si="12"/>
        <v>Dec</v>
      </c>
      <c r="E307" s="12">
        <f t="shared" si="13"/>
        <v>2015</v>
      </c>
      <c r="F307" s="10">
        <v>42373</v>
      </c>
      <c r="G307" s="12">
        <f t="shared" si="14"/>
        <v>5</v>
      </c>
      <c r="H307" s="9" t="s">
        <v>46</v>
      </c>
      <c r="I307" s="9" t="s">
        <v>339</v>
      </c>
      <c r="J307" s="9" t="s">
        <v>340</v>
      </c>
      <c r="K307" s="9" t="s">
        <v>37</v>
      </c>
      <c r="L307" s="9" t="s">
        <v>23</v>
      </c>
      <c r="M307" s="9" t="s">
        <v>1112</v>
      </c>
      <c r="N307" s="9" t="s">
        <v>234</v>
      </c>
      <c r="O307" s="9">
        <v>48180</v>
      </c>
      <c r="P307" s="9" t="s">
        <v>101</v>
      </c>
      <c r="Q307" s="9" t="s">
        <v>1113</v>
      </c>
      <c r="R307" s="9" t="s">
        <v>42</v>
      </c>
      <c r="S307" s="9" t="s">
        <v>64</v>
      </c>
      <c r="T307" s="9" t="s">
        <v>1114</v>
      </c>
      <c r="U307" s="11">
        <v>9.84</v>
      </c>
    </row>
    <row r="308" spans="1:21" x14ac:dyDescent="0.3">
      <c r="A308" s="4">
        <v>307</v>
      </c>
      <c r="B308" s="5" t="s">
        <v>1115</v>
      </c>
      <c r="C308" s="6">
        <v>42156</v>
      </c>
      <c r="D308" s="6" t="str">
        <f t="shared" si="12"/>
        <v>Jun</v>
      </c>
      <c r="E308" s="12">
        <f t="shared" si="13"/>
        <v>2015</v>
      </c>
      <c r="F308" s="6">
        <v>42161</v>
      </c>
      <c r="G308" s="12">
        <f t="shared" si="14"/>
        <v>5</v>
      </c>
      <c r="H308" s="5" t="s">
        <v>46</v>
      </c>
      <c r="I308" s="5" t="s">
        <v>1116</v>
      </c>
      <c r="J308" s="5" t="s">
        <v>1117</v>
      </c>
      <c r="K308" s="5" t="s">
        <v>98</v>
      </c>
      <c r="L308" s="5" t="s">
        <v>23</v>
      </c>
      <c r="M308" s="5" t="s">
        <v>1118</v>
      </c>
      <c r="N308" s="5" t="s">
        <v>786</v>
      </c>
      <c r="O308" s="5">
        <v>8701</v>
      </c>
      <c r="P308" s="5" t="s">
        <v>144</v>
      </c>
      <c r="Q308" s="5" t="s">
        <v>1119</v>
      </c>
      <c r="R308" s="5" t="s">
        <v>42</v>
      </c>
      <c r="S308" s="5" t="s">
        <v>71</v>
      </c>
      <c r="T308" s="5" t="s">
        <v>1120</v>
      </c>
      <c r="U308" s="7">
        <v>45.48</v>
      </c>
    </row>
    <row r="309" spans="1:21" x14ac:dyDescent="0.3">
      <c r="A309" s="8">
        <v>308</v>
      </c>
      <c r="B309" s="9" t="s">
        <v>1115</v>
      </c>
      <c r="C309" s="10">
        <v>42156</v>
      </c>
      <c r="D309" s="6" t="str">
        <f t="shared" si="12"/>
        <v>Jun</v>
      </c>
      <c r="E309" s="12">
        <f t="shared" si="13"/>
        <v>2015</v>
      </c>
      <c r="F309" s="10">
        <v>42161</v>
      </c>
      <c r="G309" s="12">
        <f t="shared" si="14"/>
        <v>5</v>
      </c>
      <c r="H309" s="9" t="s">
        <v>46</v>
      </c>
      <c r="I309" s="9" t="s">
        <v>1116</v>
      </c>
      <c r="J309" s="9" t="s">
        <v>1117</v>
      </c>
      <c r="K309" s="9" t="s">
        <v>98</v>
      </c>
      <c r="L309" s="9" t="s">
        <v>23</v>
      </c>
      <c r="M309" s="9" t="s">
        <v>1118</v>
      </c>
      <c r="N309" s="9" t="s">
        <v>786</v>
      </c>
      <c r="O309" s="9">
        <v>8701</v>
      </c>
      <c r="P309" s="9" t="s">
        <v>144</v>
      </c>
      <c r="Q309" s="9" t="s">
        <v>1121</v>
      </c>
      <c r="R309" s="9" t="s">
        <v>42</v>
      </c>
      <c r="S309" s="9" t="s">
        <v>64</v>
      </c>
      <c r="T309" s="9" t="s">
        <v>1122</v>
      </c>
      <c r="U309" s="11">
        <v>289.2</v>
      </c>
    </row>
    <row r="310" spans="1:21" x14ac:dyDescent="0.3">
      <c r="A310" s="4">
        <v>309</v>
      </c>
      <c r="B310" s="5" t="s">
        <v>1123</v>
      </c>
      <c r="C310" s="6">
        <v>43205</v>
      </c>
      <c r="D310" s="6" t="str">
        <f t="shared" si="12"/>
        <v>Apr</v>
      </c>
      <c r="E310" s="12">
        <f t="shared" si="13"/>
        <v>2018</v>
      </c>
      <c r="F310" s="6">
        <v>43207</v>
      </c>
      <c r="G310" s="12">
        <f t="shared" si="14"/>
        <v>2</v>
      </c>
      <c r="H310" s="5" t="s">
        <v>184</v>
      </c>
      <c r="I310" s="5" t="s">
        <v>1124</v>
      </c>
      <c r="J310" s="5" t="s">
        <v>1125</v>
      </c>
      <c r="K310" s="5" t="s">
        <v>22</v>
      </c>
      <c r="L310" s="5" t="s">
        <v>23</v>
      </c>
      <c r="M310" s="5" t="s">
        <v>1126</v>
      </c>
      <c r="N310" s="5" t="s">
        <v>315</v>
      </c>
      <c r="O310" s="5">
        <v>22204</v>
      </c>
      <c r="P310" s="5" t="s">
        <v>26</v>
      </c>
      <c r="Q310" s="5" t="s">
        <v>1127</v>
      </c>
      <c r="R310" s="5" t="s">
        <v>42</v>
      </c>
      <c r="S310" s="5" t="s">
        <v>64</v>
      </c>
      <c r="T310" s="5" t="s">
        <v>1128</v>
      </c>
      <c r="U310" s="7">
        <v>4.8899999999999997</v>
      </c>
    </row>
    <row r="311" spans="1:21" x14ac:dyDescent="0.3">
      <c r="A311" s="8">
        <v>310</v>
      </c>
      <c r="B311" s="9" t="s">
        <v>1129</v>
      </c>
      <c r="C311" s="10">
        <v>42990</v>
      </c>
      <c r="D311" s="6" t="str">
        <f t="shared" si="12"/>
        <v>Sep</v>
      </c>
      <c r="E311" s="12">
        <f t="shared" si="13"/>
        <v>2017</v>
      </c>
      <c r="F311" s="10">
        <v>42992</v>
      </c>
      <c r="G311" s="12">
        <f t="shared" si="14"/>
        <v>2</v>
      </c>
      <c r="H311" s="9" t="s">
        <v>19</v>
      </c>
      <c r="I311" s="9" t="s">
        <v>1130</v>
      </c>
      <c r="J311" s="9" t="s">
        <v>1131</v>
      </c>
      <c r="K311" s="9" t="s">
        <v>37</v>
      </c>
      <c r="L311" s="9" t="s">
        <v>23</v>
      </c>
      <c r="M311" s="9" t="s">
        <v>1132</v>
      </c>
      <c r="N311" s="9" t="s">
        <v>453</v>
      </c>
      <c r="O311" s="9">
        <v>80004</v>
      </c>
      <c r="P311" s="9" t="s">
        <v>40</v>
      </c>
      <c r="Q311" s="9" t="s">
        <v>1133</v>
      </c>
      <c r="R311" s="9" t="s">
        <v>28</v>
      </c>
      <c r="S311" s="9" t="s">
        <v>61</v>
      </c>
      <c r="T311" s="9" t="s">
        <v>1134</v>
      </c>
      <c r="U311" s="11">
        <v>15.135999999999999</v>
      </c>
    </row>
    <row r="312" spans="1:21" x14ac:dyDescent="0.3">
      <c r="A312" s="4">
        <v>311</v>
      </c>
      <c r="B312" s="5" t="s">
        <v>1129</v>
      </c>
      <c r="C312" s="6">
        <v>42990</v>
      </c>
      <c r="D312" s="6" t="str">
        <f t="shared" si="12"/>
        <v>Sep</v>
      </c>
      <c r="E312" s="12">
        <f t="shared" si="13"/>
        <v>2017</v>
      </c>
      <c r="F312" s="6">
        <v>42992</v>
      </c>
      <c r="G312" s="12">
        <f t="shared" si="14"/>
        <v>2</v>
      </c>
      <c r="H312" s="5" t="s">
        <v>19</v>
      </c>
      <c r="I312" s="5" t="s">
        <v>1130</v>
      </c>
      <c r="J312" s="5" t="s">
        <v>1131</v>
      </c>
      <c r="K312" s="5" t="s">
        <v>37</v>
      </c>
      <c r="L312" s="5" t="s">
        <v>23</v>
      </c>
      <c r="M312" s="5" t="s">
        <v>1132</v>
      </c>
      <c r="N312" s="5" t="s">
        <v>453</v>
      </c>
      <c r="O312" s="5">
        <v>80004</v>
      </c>
      <c r="P312" s="5" t="s">
        <v>40</v>
      </c>
      <c r="Q312" s="5" t="s">
        <v>1135</v>
      </c>
      <c r="R312" s="5" t="s">
        <v>28</v>
      </c>
      <c r="S312" s="5" t="s">
        <v>32</v>
      </c>
      <c r="T312" s="5" t="s">
        <v>1136</v>
      </c>
      <c r="U312" s="7">
        <v>466.76799999999997</v>
      </c>
    </row>
    <row r="313" spans="1:21" x14ac:dyDescent="0.3">
      <c r="A313" s="8">
        <v>312</v>
      </c>
      <c r="B313" s="9" t="s">
        <v>1129</v>
      </c>
      <c r="C313" s="10">
        <v>42990</v>
      </c>
      <c r="D313" s="6" t="str">
        <f t="shared" si="12"/>
        <v>Sep</v>
      </c>
      <c r="E313" s="12">
        <f t="shared" si="13"/>
        <v>2017</v>
      </c>
      <c r="F313" s="10">
        <v>42992</v>
      </c>
      <c r="G313" s="12">
        <f t="shared" si="14"/>
        <v>2</v>
      </c>
      <c r="H313" s="9" t="s">
        <v>19</v>
      </c>
      <c r="I313" s="9" t="s">
        <v>1130</v>
      </c>
      <c r="J313" s="9" t="s">
        <v>1131</v>
      </c>
      <c r="K313" s="9" t="s">
        <v>37</v>
      </c>
      <c r="L313" s="9" t="s">
        <v>23</v>
      </c>
      <c r="M313" s="9" t="s">
        <v>1132</v>
      </c>
      <c r="N313" s="9" t="s">
        <v>453</v>
      </c>
      <c r="O313" s="9">
        <v>80004</v>
      </c>
      <c r="P313" s="9" t="s">
        <v>40</v>
      </c>
      <c r="Q313" s="9" t="s">
        <v>1137</v>
      </c>
      <c r="R313" s="9" t="s">
        <v>28</v>
      </c>
      <c r="S313" s="9" t="s">
        <v>61</v>
      </c>
      <c r="T313" s="9" t="s">
        <v>1138</v>
      </c>
      <c r="U313" s="11">
        <v>15.231999999999999</v>
      </c>
    </row>
    <row r="314" spans="1:21" x14ac:dyDescent="0.3">
      <c r="A314" s="4">
        <v>313</v>
      </c>
      <c r="B314" s="5" t="s">
        <v>1129</v>
      </c>
      <c r="C314" s="6">
        <v>42990</v>
      </c>
      <c r="D314" s="6" t="str">
        <f t="shared" si="12"/>
        <v>Sep</v>
      </c>
      <c r="E314" s="12">
        <f t="shared" si="13"/>
        <v>2017</v>
      </c>
      <c r="F314" s="6">
        <v>42992</v>
      </c>
      <c r="G314" s="12">
        <f t="shared" si="14"/>
        <v>2</v>
      </c>
      <c r="H314" s="5" t="s">
        <v>19</v>
      </c>
      <c r="I314" s="5" t="s">
        <v>1130</v>
      </c>
      <c r="J314" s="5" t="s">
        <v>1131</v>
      </c>
      <c r="K314" s="5" t="s">
        <v>37</v>
      </c>
      <c r="L314" s="5" t="s">
        <v>23</v>
      </c>
      <c r="M314" s="5" t="s">
        <v>1132</v>
      </c>
      <c r="N314" s="5" t="s">
        <v>453</v>
      </c>
      <c r="O314" s="5">
        <v>80004</v>
      </c>
      <c r="P314" s="5" t="s">
        <v>40</v>
      </c>
      <c r="Q314" s="5" t="s">
        <v>1139</v>
      </c>
      <c r="R314" s="5" t="s">
        <v>42</v>
      </c>
      <c r="S314" s="5" t="s">
        <v>43</v>
      </c>
      <c r="T314" s="5" t="s">
        <v>1140</v>
      </c>
      <c r="U314" s="7">
        <v>6.2640000000000002</v>
      </c>
    </row>
    <row r="315" spans="1:21" x14ac:dyDescent="0.3">
      <c r="A315" s="8">
        <v>314</v>
      </c>
      <c r="B315" s="9" t="s">
        <v>1141</v>
      </c>
      <c r="C315" s="10">
        <v>42274</v>
      </c>
      <c r="D315" s="6" t="str">
        <f t="shared" si="12"/>
        <v>Sep</v>
      </c>
      <c r="E315" s="12">
        <f t="shared" si="13"/>
        <v>2015</v>
      </c>
      <c r="F315" s="10">
        <v>42280</v>
      </c>
      <c r="G315" s="12">
        <f t="shared" si="14"/>
        <v>6</v>
      </c>
      <c r="H315" s="9" t="s">
        <v>46</v>
      </c>
      <c r="I315" s="9" t="s">
        <v>1142</v>
      </c>
      <c r="J315" s="9" t="s">
        <v>1143</v>
      </c>
      <c r="K315" s="9" t="s">
        <v>37</v>
      </c>
      <c r="L315" s="9" t="s">
        <v>23</v>
      </c>
      <c r="M315" s="9" t="s">
        <v>1144</v>
      </c>
      <c r="N315" s="9" t="s">
        <v>786</v>
      </c>
      <c r="O315" s="9">
        <v>7601</v>
      </c>
      <c r="P315" s="9" t="s">
        <v>144</v>
      </c>
      <c r="Q315" s="9" t="s">
        <v>1145</v>
      </c>
      <c r="R315" s="9" t="s">
        <v>28</v>
      </c>
      <c r="S315" s="9" t="s">
        <v>61</v>
      </c>
      <c r="T315" s="9" t="s">
        <v>1146</v>
      </c>
      <c r="U315" s="11">
        <v>87.54</v>
      </c>
    </row>
    <row r="316" spans="1:21" x14ac:dyDescent="0.3">
      <c r="A316" s="4">
        <v>315</v>
      </c>
      <c r="B316" s="5" t="s">
        <v>1147</v>
      </c>
      <c r="C316" s="6">
        <v>42225</v>
      </c>
      <c r="D316" s="6" t="str">
        <f t="shared" si="12"/>
        <v>Aug</v>
      </c>
      <c r="E316" s="12">
        <f t="shared" si="13"/>
        <v>2015</v>
      </c>
      <c r="F316" s="6">
        <v>42232</v>
      </c>
      <c r="G316" s="12">
        <f t="shared" si="14"/>
        <v>7</v>
      </c>
      <c r="H316" s="5" t="s">
        <v>46</v>
      </c>
      <c r="I316" s="5" t="s">
        <v>1148</v>
      </c>
      <c r="J316" s="5" t="s">
        <v>1149</v>
      </c>
      <c r="K316" s="5" t="s">
        <v>37</v>
      </c>
      <c r="L316" s="5" t="s">
        <v>23</v>
      </c>
      <c r="M316" s="5" t="s">
        <v>1150</v>
      </c>
      <c r="N316" s="5" t="s">
        <v>50</v>
      </c>
      <c r="O316" s="5">
        <v>33710</v>
      </c>
      <c r="P316" s="5" t="s">
        <v>26</v>
      </c>
      <c r="Q316" s="5" t="s">
        <v>1151</v>
      </c>
      <c r="R316" s="5" t="s">
        <v>67</v>
      </c>
      <c r="S316" s="5" t="s">
        <v>68</v>
      </c>
      <c r="T316" s="5" t="s">
        <v>1152</v>
      </c>
      <c r="U316" s="7">
        <v>178.38399999999999</v>
      </c>
    </row>
    <row r="317" spans="1:21" x14ac:dyDescent="0.3">
      <c r="A317" s="8">
        <v>316</v>
      </c>
      <c r="B317" s="9" t="s">
        <v>1147</v>
      </c>
      <c r="C317" s="10">
        <v>42225</v>
      </c>
      <c r="D317" s="6" t="str">
        <f t="shared" si="12"/>
        <v>Aug</v>
      </c>
      <c r="E317" s="12">
        <f t="shared" si="13"/>
        <v>2015</v>
      </c>
      <c r="F317" s="10">
        <v>42232</v>
      </c>
      <c r="G317" s="12">
        <f t="shared" si="14"/>
        <v>7</v>
      </c>
      <c r="H317" s="9" t="s">
        <v>46</v>
      </c>
      <c r="I317" s="9" t="s">
        <v>1148</v>
      </c>
      <c r="J317" s="9" t="s">
        <v>1149</v>
      </c>
      <c r="K317" s="9" t="s">
        <v>37</v>
      </c>
      <c r="L317" s="9" t="s">
        <v>23</v>
      </c>
      <c r="M317" s="9" t="s">
        <v>1150</v>
      </c>
      <c r="N317" s="9" t="s">
        <v>50</v>
      </c>
      <c r="O317" s="9">
        <v>33710</v>
      </c>
      <c r="P317" s="9" t="s">
        <v>26</v>
      </c>
      <c r="Q317" s="9" t="s">
        <v>1153</v>
      </c>
      <c r="R317" s="9" t="s">
        <v>42</v>
      </c>
      <c r="S317" s="9" t="s">
        <v>86</v>
      </c>
      <c r="T317" s="9" t="s">
        <v>1154</v>
      </c>
      <c r="U317" s="11">
        <v>15.552</v>
      </c>
    </row>
    <row r="318" spans="1:21" x14ac:dyDescent="0.3">
      <c r="A318" s="4">
        <v>317</v>
      </c>
      <c r="B318" s="5" t="s">
        <v>1155</v>
      </c>
      <c r="C318" s="6">
        <v>42366</v>
      </c>
      <c r="D318" s="6" t="str">
        <f t="shared" si="12"/>
        <v>Dec</v>
      </c>
      <c r="E318" s="12">
        <f t="shared" si="13"/>
        <v>2015</v>
      </c>
      <c r="F318" s="6">
        <v>42368</v>
      </c>
      <c r="G318" s="12">
        <f t="shared" si="14"/>
        <v>2</v>
      </c>
      <c r="H318" s="5" t="s">
        <v>184</v>
      </c>
      <c r="I318" s="5" t="s">
        <v>1156</v>
      </c>
      <c r="J318" s="5" t="s">
        <v>1157</v>
      </c>
      <c r="K318" s="5" t="s">
        <v>37</v>
      </c>
      <c r="L318" s="5" t="s">
        <v>23</v>
      </c>
      <c r="M318" s="5" t="s">
        <v>142</v>
      </c>
      <c r="N318" s="5" t="s">
        <v>143</v>
      </c>
      <c r="O318" s="5">
        <v>19143</v>
      </c>
      <c r="P318" s="5" t="s">
        <v>144</v>
      </c>
      <c r="Q318" s="5" t="s">
        <v>1158</v>
      </c>
      <c r="R318" s="5" t="s">
        <v>42</v>
      </c>
      <c r="S318" s="5" t="s">
        <v>64</v>
      </c>
      <c r="T318" s="5" t="s">
        <v>1159</v>
      </c>
      <c r="U318" s="7">
        <v>99.135999999999996</v>
      </c>
    </row>
    <row r="319" spans="1:21" x14ac:dyDescent="0.3">
      <c r="A319" s="8">
        <v>318</v>
      </c>
      <c r="B319" s="9" t="s">
        <v>1160</v>
      </c>
      <c r="C319" s="10">
        <v>42312</v>
      </c>
      <c r="D319" s="6" t="str">
        <f t="shared" si="12"/>
        <v>Nov</v>
      </c>
      <c r="E319" s="12">
        <f t="shared" si="13"/>
        <v>2015</v>
      </c>
      <c r="F319" s="10">
        <v>42317</v>
      </c>
      <c r="G319" s="12">
        <f t="shared" si="14"/>
        <v>5</v>
      </c>
      <c r="H319" s="9" t="s">
        <v>46</v>
      </c>
      <c r="I319" s="9" t="s">
        <v>1161</v>
      </c>
      <c r="J319" s="9" t="s">
        <v>1162</v>
      </c>
      <c r="K319" s="9" t="s">
        <v>98</v>
      </c>
      <c r="L319" s="9" t="s">
        <v>23</v>
      </c>
      <c r="M319" s="9" t="s">
        <v>262</v>
      </c>
      <c r="N319" s="9" t="s">
        <v>263</v>
      </c>
      <c r="O319" s="9">
        <v>10024</v>
      </c>
      <c r="P319" s="9" t="s">
        <v>144</v>
      </c>
      <c r="Q319" s="9" t="s">
        <v>1163</v>
      </c>
      <c r="R319" s="9" t="s">
        <v>28</v>
      </c>
      <c r="S319" s="9" t="s">
        <v>32</v>
      </c>
      <c r="T319" s="9" t="s">
        <v>1164</v>
      </c>
      <c r="U319" s="11">
        <v>135.88200000000001</v>
      </c>
    </row>
    <row r="320" spans="1:21" x14ac:dyDescent="0.3">
      <c r="A320" s="4">
        <v>319</v>
      </c>
      <c r="B320" s="5" t="s">
        <v>1160</v>
      </c>
      <c r="C320" s="6">
        <v>42312</v>
      </c>
      <c r="D320" s="6" t="str">
        <f t="shared" si="12"/>
        <v>Nov</v>
      </c>
      <c r="E320" s="12">
        <f t="shared" si="13"/>
        <v>2015</v>
      </c>
      <c r="F320" s="6">
        <v>42317</v>
      </c>
      <c r="G320" s="12">
        <f t="shared" si="14"/>
        <v>5</v>
      </c>
      <c r="H320" s="5" t="s">
        <v>46</v>
      </c>
      <c r="I320" s="5" t="s">
        <v>1161</v>
      </c>
      <c r="J320" s="5" t="s">
        <v>1162</v>
      </c>
      <c r="K320" s="5" t="s">
        <v>98</v>
      </c>
      <c r="L320" s="5" t="s">
        <v>23</v>
      </c>
      <c r="M320" s="5" t="s">
        <v>262</v>
      </c>
      <c r="N320" s="5" t="s">
        <v>263</v>
      </c>
      <c r="O320" s="5">
        <v>10024</v>
      </c>
      <c r="P320" s="5" t="s">
        <v>144</v>
      </c>
      <c r="Q320" s="5" t="s">
        <v>1165</v>
      </c>
      <c r="R320" s="5" t="s">
        <v>67</v>
      </c>
      <c r="S320" s="5" t="s">
        <v>680</v>
      </c>
      <c r="T320" s="5" t="s">
        <v>1166</v>
      </c>
      <c r="U320" s="7">
        <v>3991.98</v>
      </c>
    </row>
    <row r="321" spans="1:21" x14ac:dyDescent="0.3">
      <c r="A321" s="8">
        <v>320</v>
      </c>
      <c r="B321" s="9" t="s">
        <v>1160</v>
      </c>
      <c r="C321" s="10">
        <v>42312</v>
      </c>
      <c r="D321" s="6" t="str">
        <f t="shared" si="12"/>
        <v>Nov</v>
      </c>
      <c r="E321" s="12">
        <f t="shared" si="13"/>
        <v>2015</v>
      </c>
      <c r="F321" s="10">
        <v>42317</v>
      </c>
      <c r="G321" s="12">
        <f t="shared" si="14"/>
        <v>5</v>
      </c>
      <c r="H321" s="9" t="s">
        <v>46</v>
      </c>
      <c r="I321" s="9" t="s">
        <v>1161</v>
      </c>
      <c r="J321" s="9" t="s">
        <v>1162</v>
      </c>
      <c r="K321" s="9" t="s">
        <v>98</v>
      </c>
      <c r="L321" s="9" t="s">
        <v>23</v>
      </c>
      <c r="M321" s="9" t="s">
        <v>262</v>
      </c>
      <c r="N321" s="9" t="s">
        <v>263</v>
      </c>
      <c r="O321" s="9">
        <v>10024</v>
      </c>
      <c r="P321" s="9" t="s">
        <v>144</v>
      </c>
      <c r="Q321" s="9" t="s">
        <v>208</v>
      </c>
      <c r="R321" s="9" t="s">
        <v>67</v>
      </c>
      <c r="S321" s="9" t="s">
        <v>68</v>
      </c>
      <c r="T321" s="9" t="s">
        <v>209</v>
      </c>
      <c r="U321" s="11">
        <v>275.94</v>
      </c>
    </row>
    <row r="322" spans="1:21" x14ac:dyDescent="0.3">
      <c r="A322" s="4">
        <v>321</v>
      </c>
      <c r="B322" s="5" t="s">
        <v>1160</v>
      </c>
      <c r="C322" s="6">
        <v>42312</v>
      </c>
      <c r="D322" s="6" t="str">
        <f t="shared" si="12"/>
        <v>Nov</v>
      </c>
      <c r="E322" s="12">
        <f t="shared" si="13"/>
        <v>2015</v>
      </c>
      <c r="F322" s="6">
        <v>42317</v>
      </c>
      <c r="G322" s="12">
        <f t="shared" si="14"/>
        <v>5</v>
      </c>
      <c r="H322" s="5" t="s">
        <v>46</v>
      </c>
      <c r="I322" s="5" t="s">
        <v>1161</v>
      </c>
      <c r="J322" s="5" t="s">
        <v>1162</v>
      </c>
      <c r="K322" s="5" t="s">
        <v>98</v>
      </c>
      <c r="L322" s="5" t="s">
        <v>23</v>
      </c>
      <c r="M322" s="5" t="s">
        <v>262</v>
      </c>
      <c r="N322" s="5" t="s">
        <v>263</v>
      </c>
      <c r="O322" s="5">
        <v>10024</v>
      </c>
      <c r="P322" s="5" t="s">
        <v>144</v>
      </c>
      <c r="Q322" s="5" t="s">
        <v>1167</v>
      </c>
      <c r="R322" s="5" t="s">
        <v>67</v>
      </c>
      <c r="S322" s="5" t="s">
        <v>157</v>
      </c>
      <c r="T322" s="5" t="s">
        <v>1168</v>
      </c>
      <c r="U322" s="7">
        <v>360</v>
      </c>
    </row>
    <row r="323" spans="1:21" x14ac:dyDescent="0.3">
      <c r="A323" s="8">
        <v>322</v>
      </c>
      <c r="B323" s="9" t="s">
        <v>1160</v>
      </c>
      <c r="C323" s="10">
        <v>42312</v>
      </c>
      <c r="D323" s="6" t="str">
        <f t="shared" ref="D323:D386" si="15">TEXT(C323,"MMM")</f>
        <v>Nov</v>
      </c>
      <c r="E323" s="12">
        <f t="shared" ref="E323:E386" si="16">YEAR(C323)</f>
        <v>2015</v>
      </c>
      <c r="F323" s="10">
        <v>42317</v>
      </c>
      <c r="G323" s="12">
        <f t="shared" ref="G323:G386" si="17">DATEDIF(C323,F323,"D")</f>
        <v>5</v>
      </c>
      <c r="H323" s="9" t="s">
        <v>46</v>
      </c>
      <c r="I323" s="9" t="s">
        <v>1161</v>
      </c>
      <c r="J323" s="9" t="s">
        <v>1162</v>
      </c>
      <c r="K323" s="9" t="s">
        <v>98</v>
      </c>
      <c r="L323" s="9" t="s">
        <v>23</v>
      </c>
      <c r="M323" s="9" t="s">
        <v>262</v>
      </c>
      <c r="N323" s="9" t="s">
        <v>263</v>
      </c>
      <c r="O323" s="9">
        <v>10024</v>
      </c>
      <c r="P323" s="9" t="s">
        <v>144</v>
      </c>
      <c r="Q323" s="9" t="s">
        <v>543</v>
      </c>
      <c r="R323" s="9" t="s">
        <v>42</v>
      </c>
      <c r="S323" s="9" t="s">
        <v>55</v>
      </c>
      <c r="T323" s="9" t="s">
        <v>544</v>
      </c>
      <c r="U323" s="11">
        <v>43.57</v>
      </c>
    </row>
    <row r="324" spans="1:21" x14ac:dyDescent="0.3">
      <c r="A324" s="4">
        <v>323</v>
      </c>
      <c r="B324" s="5" t="s">
        <v>1169</v>
      </c>
      <c r="C324" s="6">
        <v>42266</v>
      </c>
      <c r="D324" s="6" t="str">
        <f t="shared" si="15"/>
        <v>Sep</v>
      </c>
      <c r="E324" s="12">
        <f t="shared" si="16"/>
        <v>2015</v>
      </c>
      <c r="F324" s="6">
        <v>42271</v>
      </c>
      <c r="G324" s="12">
        <f t="shared" si="17"/>
        <v>5</v>
      </c>
      <c r="H324" s="5" t="s">
        <v>46</v>
      </c>
      <c r="I324" s="5" t="s">
        <v>1170</v>
      </c>
      <c r="J324" s="5" t="s">
        <v>1171</v>
      </c>
      <c r="K324" s="5" t="s">
        <v>37</v>
      </c>
      <c r="L324" s="5" t="s">
        <v>23</v>
      </c>
      <c r="M324" s="5" t="s">
        <v>1172</v>
      </c>
      <c r="N324" s="5" t="s">
        <v>39</v>
      </c>
      <c r="O324" s="5">
        <v>90805</v>
      </c>
      <c r="P324" s="5" t="s">
        <v>40</v>
      </c>
      <c r="Q324" s="5" t="s">
        <v>1173</v>
      </c>
      <c r="R324" s="5" t="s">
        <v>42</v>
      </c>
      <c r="S324" s="5" t="s">
        <v>265</v>
      </c>
      <c r="T324" s="5" t="s">
        <v>1174</v>
      </c>
      <c r="U324" s="7">
        <v>7.16</v>
      </c>
    </row>
    <row r="325" spans="1:21" x14ac:dyDescent="0.3">
      <c r="A325" s="8">
        <v>324</v>
      </c>
      <c r="B325" s="9" t="s">
        <v>1175</v>
      </c>
      <c r="C325" s="10">
        <v>42848</v>
      </c>
      <c r="D325" s="6" t="str">
        <f t="shared" si="15"/>
        <v>Apr</v>
      </c>
      <c r="E325" s="12">
        <f t="shared" si="16"/>
        <v>2017</v>
      </c>
      <c r="F325" s="10">
        <v>42852</v>
      </c>
      <c r="G325" s="12">
        <f t="shared" si="17"/>
        <v>4</v>
      </c>
      <c r="H325" s="9" t="s">
        <v>46</v>
      </c>
      <c r="I325" s="9" t="s">
        <v>1176</v>
      </c>
      <c r="J325" s="9" t="s">
        <v>1177</v>
      </c>
      <c r="K325" s="9" t="s">
        <v>37</v>
      </c>
      <c r="L325" s="9" t="s">
        <v>23</v>
      </c>
      <c r="M325" s="9" t="s">
        <v>1178</v>
      </c>
      <c r="N325" s="9" t="s">
        <v>39</v>
      </c>
      <c r="O325" s="9">
        <v>92345</v>
      </c>
      <c r="P325" s="9" t="s">
        <v>40</v>
      </c>
      <c r="Q325" s="9" t="s">
        <v>1087</v>
      </c>
      <c r="R325" s="9" t="s">
        <v>42</v>
      </c>
      <c r="S325" s="9" t="s">
        <v>71</v>
      </c>
      <c r="T325" s="9" t="s">
        <v>1088</v>
      </c>
      <c r="U325" s="11">
        <v>251.52</v>
      </c>
    </row>
    <row r="326" spans="1:21" x14ac:dyDescent="0.3">
      <c r="A326" s="4">
        <v>325</v>
      </c>
      <c r="B326" s="5" t="s">
        <v>1175</v>
      </c>
      <c r="C326" s="6">
        <v>42848</v>
      </c>
      <c r="D326" s="6" t="str">
        <f t="shared" si="15"/>
        <v>Apr</v>
      </c>
      <c r="E326" s="12">
        <f t="shared" si="16"/>
        <v>2017</v>
      </c>
      <c r="F326" s="6">
        <v>42852</v>
      </c>
      <c r="G326" s="12">
        <f t="shared" si="17"/>
        <v>4</v>
      </c>
      <c r="H326" s="5" t="s">
        <v>46</v>
      </c>
      <c r="I326" s="5" t="s">
        <v>1176</v>
      </c>
      <c r="J326" s="5" t="s">
        <v>1177</v>
      </c>
      <c r="K326" s="5" t="s">
        <v>37</v>
      </c>
      <c r="L326" s="5" t="s">
        <v>23</v>
      </c>
      <c r="M326" s="5" t="s">
        <v>1178</v>
      </c>
      <c r="N326" s="5" t="s">
        <v>39</v>
      </c>
      <c r="O326" s="5">
        <v>92345</v>
      </c>
      <c r="P326" s="5" t="s">
        <v>40</v>
      </c>
      <c r="Q326" s="5" t="s">
        <v>1179</v>
      </c>
      <c r="R326" s="5" t="s">
        <v>67</v>
      </c>
      <c r="S326" s="5" t="s">
        <v>157</v>
      </c>
      <c r="T326" s="5" t="s">
        <v>1180</v>
      </c>
      <c r="U326" s="7">
        <v>99.99</v>
      </c>
    </row>
    <row r="327" spans="1:21" x14ac:dyDescent="0.3">
      <c r="A327" s="8">
        <v>326</v>
      </c>
      <c r="B327" s="9" t="s">
        <v>1181</v>
      </c>
      <c r="C327" s="10">
        <v>43407</v>
      </c>
      <c r="D327" s="6" t="str">
        <f t="shared" si="15"/>
        <v>Nov</v>
      </c>
      <c r="E327" s="12">
        <f t="shared" si="16"/>
        <v>2018</v>
      </c>
      <c r="F327" s="10">
        <v>43409</v>
      </c>
      <c r="G327" s="12">
        <f t="shared" si="17"/>
        <v>2</v>
      </c>
      <c r="H327" s="9" t="s">
        <v>19</v>
      </c>
      <c r="I327" s="9" t="s">
        <v>1182</v>
      </c>
      <c r="J327" s="9" t="s">
        <v>1183</v>
      </c>
      <c r="K327" s="9" t="s">
        <v>37</v>
      </c>
      <c r="L327" s="9" t="s">
        <v>23</v>
      </c>
      <c r="M327" s="9" t="s">
        <v>1184</v>
      </c>
      <c r="N327" s="9" t="s">
        <v>331</v>
      </c>
      <c r="O327" s="9">
        <v>37130</v>
      </c>
      <c r="P327" s="9" t="s">
        <v>26</v>
      </c>
      <c r="Q327" s="9" t="s">
        <v>1185</v>
      </c>
      <c r="R327" s="9" t="s">
        <v>28</v>
      </c>
      <c r="S327" s="9" t="s">
        <v>61</v>
      </c>
      <c r="T327" s="9" t="s">
        <v>1186</v>
      </c>
      <c r="U327" s="11">
        <v>15.992000000000001</v>
      </c>
    </row>
    <row r="328" spans="1:21" x14ac:dyDescent="0.3">
      <c r="A328" s="4">
        <v>327</v>
      </c>
      <c r="B328" s="5" t="s">
        <v>1187</v>
      </c>
      <c r="C328" s="6">
        <v>42977</v>
      </c>
      <c r="D328" s="6" t="str">
        <f t="shared" si="15"/>
        <v>Aug</v>
      </c>
      <c r="E328" s="12">
        <f t="shared" si="16"/>
        <v>2017</v>
      </c>
      <c r="F328" s="6">
        <v>42979</v>
      </c>
      <c r="G328" s="12">
        <f t="shared" si="17"/>
        <v>2</v>
      </c>
      <c r="H328" s="5" t="s">
        <v>184</v>
      </c>
      <c r="I328" s="5" t="s">
        <v>1188</v>
      </c>
      <c r="J328" s="5" t="s">
        <v>1189</v>
      </c>
      <c r="K328" s="5" t="s">
        <v>22</v>
      </c>
      <c r="L328" s="5" t="s">
        <v>23</v>
      </c>
      <c r="M328" s="5" t="s">
        <v>142</v>
      </c>
      <c r="N328" s="5" t="s">
        <v>143</v>
      </c>
      <c r="O328" s="5">
        <v>19143</v>
      </c>
      <c r="P328" s="5" t="s">
        <v>144</v>
      </c>
      <c r="Q328" s="5" t="s">
        <v>1190</v>
      </c>
      <c r="R328" s="5" t="s">
        <v>67</v>
      </c>
      <c r="S328" s="5" t="s">
        <v>68</v>
      </c>
      <c r="T328" s="5" t="s">
        <v>1191</v>
      </c>
      <c r="U328" s="7">
        <v>290.89800000000002</v>
      </c>
    </row>
    <row r="329" spans="1:21" x14ac:dyDescent="0.3">
      <c r="A329" s="8">
        <v>328</v>
      </c>
      <c r="B329" s="9" t="s">
        <v>1187</v>
      </c>
      <c r="C329" s="10">
        <v>42977</v>
      </c>
      <c r="D329" s="6" t="str">
        <f t="shared" si="15"/>
        <v>Aug</v>
      </c>
      <c r="E329" s="12">
        <f t="shared" si="16"/>
        <v>2017</v>
      </c>
      <c r="F329" s="10">
        <v>42979</v>
      </c>
      <c r="G329" s="12">
        <f t="shared" si="17"/>
        <v>2</v>
      </c>
      <c r="H329" s="9" t="s">
        <v>184</v>
      </c>
      <c r="I329" s="9" t="s">
        <v>1188</v>
      </c>
      <c r="J329" s="9" t="s">
        <v>1189</v>
      </c>
      <c r="K329" s="9" t="s">
        <v>22</v>
      </c>
      <c r="L329" s="9" t="s">
        <v>23</v>
      </c>
      <c r="M329" s="9" t="s">
        <v>142</v>
      </c>
      <c r="N329" s="9" t="s">
        <v>143</v>
      </c>
      <c r="O329" s="9">
        <v>19143</v>
      </c>
      <c r="P329" s="9" t="s">
        <v>144</v>
      </c>
      <c r="Q329" s="9" t="s">
        <v>1192</v>
      </c>
      <c r="R329" s="9" t="s">
        <v>42</v>
      </c>
      <c r="S329" s="9" t="s">
        <v>55</v>
      </c>
      <c r="T329" s="9" t="s">
        <v>1193</v>
      </c>
      <c r="U329" s="11">
        <v>54.223999999999997</v>
      </c>
    </row>
    <row r="330" spans="1:21" x14ac:dyDescent="0.3">
      <c r="A330" s="4">
        <v>329</v>
      </c>
      <c r="B330" s="5" t="s">
        <v>1187</v>
      </c>
      <c r="C330" s="6">
        <v>42977</v>
      </c>
      <c r="D330" s="6" t="str">
        <f t="shared" si="15"/>
        <v>Aug</v>
      </c>
      <c r="E330" s="12">
        <f t="shared" si="16"/>
        <v>2017</v>
      </c>
      <c r="F330" s="6">
        <v>42979</v>
      </c>
      <c r="G330" s="12">
        <f t="shared" si="17"/>
        <v>2</v>
      </c>
      <c r="H330" s="5" t="s">
        <v>184</v>
      </c>
      <c r="I330" s="5" t="s">
        <v>1188</v>
      </c>
      <c r="J330" s="5" t="s">
        <v>1189</v>
      </c>
      <c r="K330" s="5" t="s">
        <v>22</v>
      </c>
      <c r="L330" s="5" t="s">
        <v>23</v>
      </c>
      <c r="M330" s="5" t="s">
        <v>142</v>
      </c>
      <c r="N330" s="5" t="s">
        <v>143</v>
      </c>
      <c r="O330" s="5">
        <v>19143</v>
      </c>
      <c r="P330" s="5" t="s">
        <v>144</v>
      </c>
      <c r="Q330" s="5" t="s">
        <v>1194</v>
      </c>
      <c r="R330" s="5" t="s">
        <v>28</v>
      </c>
      <c r="S330" s="5" t="s">
        <v>32</v>
      </c>
      <c r="T330" s="5" t="s">
        <v>1195</v>
      </c>
      <c r="U330" s="7">
        <v>786.74400000000003</v>
      </c>
    </row>
    <row r="331" spans="1:21" x14ac:dyDescent="0.3">
      <c r="A331" s="8">
        <v>330</v>
      </c>
      <c r="B331" s="9" t="s">
        <v>1187</v>
      </c>
      <c r="C331" s="10">
        <v>42977</v>
      </c>
      <c r="D331" s="6" t="str">
        <f t="shared" si="15"/>
        <v>Aug</v>
      </c>
      <c r="E331" s="12">
        <f t="shared" si="16"/>
        <v>2017</v>
      </c>
      <c r="F331" s="10">
        <v>42979</v>
      </c>
      <c r="G331" s="12">
        <f t="shared" si="17"/>
        <v>2</v>
      </c>
      <c r="H331" s="9" t="s">
        <v>184</v>
      </c>
      <c r="I331" s="9" t="s">
        <v>1188</v>
      </c>
      <c r="J331" s="9" t="s">
        <v>1189</v>
      </c>
      <c r="K331" s="9" t="s">
        <v>22</v>
      </c>
      <c r="L331" s="9" t="s">
        <v>23</v>
      </c>
      <c r="M331" s="9" t="s">
        <v>142</v>
      </c>
      <c r="N331" s="9" t="s">
        <v>143</v>
      </c>
      <c r="O331" s="9">
        <v>19143</v>
      </c>
      <c r="P331" s="9" t="s">
        <v>144</v>
      </c>
      <c r="Q331" s="9" t="s">
        <v>1196</v>
      </c>
      <c r="R331" s="9" t="s">
        <v>42</v>
      </c>
      <c r="S331" s="9" t="s">
        <v>43</v>
      </c>
      <c r="T331" s="9" t="s">
        <v>1197</v>
      </c>
      <c r="U331" s="11">
        <v>100.24</v>
      </c>
    </row>
    <row r="332" spans="1:21" x14ac:dyDescent="0.3">
      <c r="A332" s="4">
        <v>331</v>
      </c>
      <c r="B332" s="5" t="s">
        <v>1187</v>
      </c>
      <c r="C332" s="6">
        <v>42977</v>
      </c>
      <c r="D332" s="6" t="str">
        <f t="shared" si="15"/>
        <v>Aug</v>
      </c>
      <c r="E332" s="12">
        <f t="shared" si="16"/>
        <v>2017</v>
      </c>
      <c r="F332" s="6">
        <v>42979</v>
      </c>
      <c r="G332" s="12">
        <f t="shared" si="17"/>
        <v>2</v>
      </c>
      <c r="H332" s="5" t="s">
        <v>184</v>
      </c>
      <c r="I332" s="5" t="s">
        <v>1188</v>
      </c>
      <c r="J332" s="5" t="s">
        <v>1189</v>
      </c>
      <c r="K332" s="5" t="s">
        <v>22</v>
      </c>
      <c r="L332" s="5" t="s">
        <v>23</v>
      </c>
      <c r="M332" s="5" t="s">
        <v>142</v>
      </c>
      <c r="N332" s="5" t="s">
        <v>143</v>
      </c>
      <c r="O332" s="5">
        <v>19143</v>
      </c>
      <c r="P332" s="5" t="s">
        <v>144</v>
      </c>
      <c r="Q332" s="5" t="s">
        <v>1198</v>
      </c>
      <c r="R332" s="5" t="s">
        <v>42</v>
      </c>
      <c r="S332" s="5" t="s">
        <v>71</v>
      </c>
      <c r="T332" s="5" t="s">
        <v>1199</v>
      </c>
      <c r="U332" s="7">
        <v>37.764000000000003</v>
      </c>
    </row>
    <row r="333" spans="1:21" x14ac:dyDescent="0.3">
      <c r="A333" s="8">
        <v>332</v>
      </c>
      <c r="B333" s="9" t="s">
        <v>1200</v>
      </c>
      <c r="C333" s="10">
        <v>42850</v>
      </c>
      <c r="D333" s="6" t="str">
        <f t="shared" si="15"/>
        <v>Apr</v>
      </c>
      <c r="E333" s="12">
        <f t="shared" si="16"/>
        <v>2017</v>
      </c>
      <c r="F333" s="10">
        <v>42854</v>
      </c>
      <c r="G333" s="12">
        <f t="shared" si="17"/>
        <v>4</v>
      </c>
      <c r="H333" s="9" t="s">
        <v>19</v>
      </c>
      <c r="I333" s="9" t="s">
        <v>1201</v>
      </c>
      <c r="J333" s="9" t="s">
        <v>1202</v>
      </c>
      <c r="K333" s="9" t="s">
        <v>22</v>
      </c>
      <c r="L333" s="9" t="s">
        <v>23</v>
      </c>
      <c r="M333" s="9" t="s">
        <v>142</v>
      </c>
      <c r="N333" s="9" t="s">
        <v>143</v>
      </c>
      <c r="O333" s="9">
        <v>19134</v>
      </c>
      <c r="P333" s="9" t="s">
        <v>144</v>
      </c>
      <c r="Q333" s="9" t="s">
        <v>1203</v>
      </c>
      <c r="R333" s="9" t="s">
        <v>67</v>
      </c>
      <c r="S333" s="9" t="s">
        <v>68</v>
      </c>
      <c r="T333" s="9" t="s">
        <v>1204</v>
      </c>
      <c r="U333" s="11">
        <v>82.8</v>
      </c>
    </row>
    <row r="334" spans="1:21" x14ac:dyDescent="0.3">
      <c r="A334" s="4">
        <v>333</v>
      </c>
      <c r="B334" s="5" t="s">
        <v>1200</v>
      </c>
      <c r="C334" s="6">
        <v>42850</v>
      </c>
      <c r="D334" s="6" t="str">
        <f t="shared" si="15"/>
        <v>Apr</v>
      </c>
      <c r="E334" s="12">
        <f t="shared" si="16"/>
        <v>2017</v>
      </c>
      <c r="F334" s="6">
        <v>42854</v>
      </c>
      <c r="G334" s="12">
        <f t="shared" si="17"/>
        <v>4</v>
      </c>
      <c r="H334" s="5" t="s">
        <v>19</v>
      </c>
      <c r="I334" s="5" t="s">
        <v>1201</v>
      </c>
      <c r="J334" s="5" t="s">
        <v>1202</v>
      </c>
      <c r="K334" s="5" t="s">
        <v>22</v>
      </c>
      <c r="L334" s="5" t="s">
        <v>23</v>
      </c>
      <c r="M334" s="5" t="s">
        <v>142</v>
      </c>
      <c r="N334" s="5" t="s">
        <v>143</v>
      </c>
      <c r="O334" s="5">
        <v>19134</v>
      </c>
      <c r="P334" s="5" t="s">
        <v>144</v>
      </c>
      <c r="Q334" s="5" t="s">
        <v>1205</v>
      </c>
      <c r="R334" s="5" t="s">
        <v>42</v>
      </c>
      <c r="S334" s="5" t="s">
        <v>71</v>
      </c>
      <c r="T334" s="5" t="s">
        <v>1206</v>
      </c>
      <c r="U334" s="7">
        <v>20.724</v>
      </c>
    </row>
    <row r="335" spans="1:21" x14ac:dyDescent="0.3">
      <c r="A335" s="8">
        <v>334</v>
      </c>
      <c r="B335" s="9" t="s">
        <v>1200</v>
      </c>
      <c r="C335" s="10">
        <v>42850</v>
      </c>
      <c r="D335" s="6" t="str">
        <f t="shared" si="15"/>
        <v>Apr</v>
      </c>
      <c r="E335" s="12">
        <f t="shared" si="16"/>
        <v>2017</v>
      </c>
      <c r="F335" s="10">
        <v>42854</v>
      </c>
      <c r="G335" s="12">
        <f t="shared" si="17"/>
        <v>4</v>
      </c>
      <c r="H335" s="9" t="s">
        <v>19</v>
      </c>
      <c r="I335" s="9" t="s">
        <v>1201</v>
      </c>
      <c r="J335" s="9" t="s">
        <v>1202</v>
      </c>
      <c r="K335" s="9" t="s">
        <v>22</v>
      </c>
      <c r="L335" s="9" t="s">
        <v>23</v>
      </c>
      <c r="M335" s="9" t="s">
        <v>142</v>
      </c>
      <c r="N335" s="9" t="s">
        <v>143</v>
      </c>
      <c r="O335" s="9">
        <v>19134</v>
      </c>
      <c r="P335" s="9" t="s">
        <v>144</v>
      </c>
      <c r="Q335" s="9" t="s">
        <v>1207</v>
      </c>
      <c r="R335" s="9" t="s">
        <v>42</v>
      </c>
      <c r="S335" s="9" t="s">
        <v>71</v>
      </c>
      <c r="T335" s="9" t="s">
        <v>1208</v>
      </c>
      <c r="U335" s="11">
        <v>4.8959999999999999</v>
      </c>
    </row>
    <row r="336" spans="1:21" x14ac:dyDescent="0.3">
      <c r="A336" s="4">
        <v>335</v>
      </c>
      <c r="B336" s="5" t="s">
        <v>1209</v>
      </c>
      <c r="C336" s="6">
        <v>42614</v>
      </c>
      <c r="D336" s="6" t="str">
        <f t="shared" si="15"/>
        <v>Sep</v>
      </c>
      <c r="E336" s="12">
        <f t="shared" si="16"/>
        <v>2016</v>
      </c>
      <c r="F336" s="6">
        <v>42617</v>
      </c>
      <c r="G336" s="12">
        <f t="shared" si="17"/>
        <v>3</v>
      </c>
      <c r="H336" s="5" t="s">
        <v>19</v>
      </c>
      <c r="I336" s="5" t="s">
        <v>1210</v>
      </c>
      <c r="J336" s="5" t="s">
        <v>1211</v>
      </c>
      <c r="K336" s="5" t="s">
        <v>22</v>
      </c>
      <c r="L336" s="5" t="s">
        <v>23</v>
      </c>
      <c r="M336" s="5" t="s">
        <v>38</v>
      </c>
      <c r="N336" s="5" t="s">
        <v>39</v>
      </c>
      <c r="O336" s="5">
        <v>90045</v>
      </c>
      <c r="P336" s="5" t="s">
        <v>40</v>
      </c>
      <c r="Q336" s="5" t="s">
        <v>1212</v>
      </c>
      <c r="R336" s="5" t="s">
        <v>42</v>
      </c>
      <c r="S336" s="5" t="s">
        <v>71</v>
      </c>
      <c r="T336" s="5" t="s">
        <v>1213</v>
      </c>
      <c r="U336" s="7">
        <v>4.7519999999999998</v>
      </c>
    </row>
    <row r="337" spans="1:21" x14ac:dyDescent="0.3">
      <c r="A337" s="8">
        <v>336</v>
      </c>
      <c r="B337" s="9" t="s">
        <v>1209</v>
      </c>
      <c r="C337" s="10">
        <v>42614</v>
      </c>
      <c r="D337" s="6" t="str">
        <f t="shared" si="15"/>
        <v>Sep</v>
      </c>
      <c r="E337" s="12">
        <f t="shared" si="16"/>
        <v>2016</v>
      </c>
      <c r="F337" s="10">
        <v>42617</v>
      </c>
      <c r="G337" s="12">
        <f t="shared" si="17"/>
        <v>3</v>
      </c>
      <c r="H337" s="9" t="s">
        <v>19</v>
      </c>
      <c r="I337" s="9" t="s">
        <v>1210</v>
      </c>
      <c r="J337" s="9" t="s">
        <v>1211</v>
      </c>
      <c r="K337" s="9" t="s">
        <v>22</v>
      </c>
      <c r="L337" s="9" t="s">
        <v>23</v>
      </c>
      <c r="M337" s="9" t="s">
        <v>38</v>
      </c>
      <c r="N337" s="9" t="s">
        <v>39</v>
      </c>
      <c r="O337" s="9">
        <v>90045</v>
      </c>
      <c r="P337" s="9" t="s">
        <v>40</v>
      </c>
      <c r="Q337" s="9" t="s">
        <v>1214</v>
      </c>
      <c r="R337" s="9" t="s">
        <v>67</v>
      </c>
      <c r="S337" s="9" t="s">
        <v>1215</v>
      </c>
      <c r="T337" s="9" t="s">
        <v>1216</v>
      </c>
      <c r="U337" s="11">
        <v>959.98400000000004</v>
      </c>
    </row>
    <row r="338" spans="1:21" x14ac:dyDescent="0.3">
      <c r="A338" s="4">
        <v>337</v>
      </c>
      <c r="B338" s="5" t="s">
        <v>1209</v>
      </c>
      <c r="C338" s="6">
        <v>42614</v>
      </c>
      <c r="D338" s="6" t="str">
        <f t="shared" si="15"/>
        <v>Sep</v>
      </c>
      <c r="E338" s="12">
        <f t="shared" si="16"/>
        <v>2016</v>
      </c>
      <c r="F338" s="6">
        <v>42617</v>
      </c>
      <c r="G338" s="12">
        <f t="shared" si="17"/>
        <v>3</v>
      </c>
      <c r="H338" s="5" t="s">
        <v>19</v>
      </c>
      <c r="I338" s="5" t="s">
        <v>1210</v>
      </c>
      <c r="J338" s="5" t="s">
        <v>1211</v>
      </c>
      <c r="K338" s="5" t="s">
        <v>22</v>
      </c>
      <c r="L338" s="5" t="s">
        <v>23</v>
      </c>
      <c r="M338" s="5" t="s">
        <v>38</v>
      </c>
      <c r="N338" s="5" t="s">
        <v>39</v>
      </c>
      <c r="O338" s="5">
        <v>90045</v>
      </c>
      <c r="P338" s="5" t="s">
        <v>40</v>
      </c>
      <c r="Q338" s="5" t="s">
        <v>1217</v>
      </c>
      <c r="R338" s="5" t="s">
        <v>42</v>
      </c>
      <c r="S338" s="5" t="s">
        <v>71</v>
      </c>
      <c r="T338" s="5" t="s">
        <v>1218</v>
      </c>
      <c r="U338" s="7">
        <v>14.368</v>
      </c>
    </row>
    <row r="339" spans="1:21" x14ac:dyDescent="0.3">
      <c r="A339" s="8">
        <v>338</v>
      </c>
      <c r="B339" s="9" t="s">
        <v>1219</v>
      </c>
      <c r="C339" s="10">
        <v>42197</v>
      </c>
      <c r="D339" s="6" t="str">
        <f t="shared" si="15"/>
        <v>Jul</v>
      </c>
      <c r="E339" s="12">
        <f t="shared" si="16"/>
        <v>2015</v>
      </c>
      <c r="F339" s="10">
        <v>42202</v>
      </c>
      <c r="G339" s="12">
        <f t="shared" si="17"/>
        <v>5</v>
      </c>
      <c r="H339" s="9" t="s">
        <v>46</v>
      </c>
      <c r="I339" s="9" t="s">
        <v>1220</v>
      </c>
      <c r="J339" s="9" t="s">
        <v>1221</v>
      </c>
      <c r="K339" s="9" t="s">
        <v>37</v>
      </c>
      <c r="L339" s="9" t="s">
        <v>23</v>
      </c>
      <c r="M339" s="9" t="s">
        <v>123</v>
      </c>
      <c r="N339" s="9" t="s">
        <v>39</v>
      </c>
      <c r="O339" s="9">
        <v>94122</v>
      </c>
      <c r="P339" s="9" t="s">
        <v>40</v>
      </c>
      <c r="Q339" s="9" t="s">
        <v>1222</v>
      </c>
      <c r="R339" s="9" t="s">
        <v>42</v>
      </c>
      <c r="S339" s="9" t="s">
        <v>71</v>
      </c>
      <c r="T339" s="9" t="s">
        <v>1223</v>
      </c>
      <c r="U339" s="11">
        <v>7.7119999999999997</v>
      </c>
    </row>
    <row r="340" spans="1:21" x14ac:dyDescent="0.3">
      <c r="A340" s="4">
        <v>339</v>
      </c>
      <c r="B340" s="5" t="s">
        <v>1219</v>
      </c>
      <c r="C340" s="6">
        <v>42197</v>
      </c>
      <c r="D340" s="6" t="str">
        <f t="shared" si="15"/>
        <v>Jul</v>
      </c>
      <c r="E340" s="12">
        <f t="shared" si="16"/>
        <v>2015</v>
      </c>
      <c r="F340" s="6">
        <v>42202</v>
      </c>
      <c r="G340" s="12">
        <f t="shared" si="17"/>
        <v>5</v>
      </c>
      <c r="H340" s="5" t="s">
        <v>46</v>
      </c>
      <c r="I340" s="5" t="s">
        <v>1220</v>
      </c>
      <c r="J340" s="5" t="s">
        <v>1221</v>
      </c>
      <c r="K340" s="5" t="s">
        <v>37</v>
      </c>
      <c r="L340" s="5" t="s">
        <v>23</v>
      </c>
      <c r="M340" s="5" t="s">
        <v>123</v>
      </c>
      <c r="N340" s="5" t="s">
        <v>39</v>
      </c>
      <c r="O340" s="5">
        <v>94122</v>
      </c>
      <c r="P340" s="5" t="s">
        <v>40</v>
      </c>
      <c r="Q340" s="5" t="s">
        <v>1224</v>
      </c>
      <c r="R340" s="5" t="s">
        <v>28</v>
      </c>
      <c r="S340" s="5" t="s">
        <v>52</v>
      </c>
      <c r="T340" s="5" t="s">
        <v>1225</v>
      </c>
      <c r="U340" s="7">
        <v>698.35199999999998</v>
      </c>
    </row>
    <row r="341" spans="1:21" x14ac:dyDescent="0.3">
      <c r="A341" s="8">
        <v>340</v>
      </c>
      <c r="B341" s="9" t="s">
        <v>1226</v>
      </c>
      <c r="C341" s="10">
        <v>42543</v>
      </c>
      <c r="D341" s="6" t="str">
        <f t="shared" si="15"/>
        <v>Jun</v>
      </c>
      <c r="E341" s="12">
        <f t="shared" si="16"/>
        <v>2016</v>
      </c>
      <c r="F341" s="10">
        <v>42547</v>
      </c>
      <c r="G341" s="12">
        <f t="shared" si="17"/>
        <v>4</v>
      </c>
      <c r="H341" s="9" t="s">
        <v>19</v>
      </c>
      <c r="I341" s="9" t="s">
        <v>914</v>
      </c>
      <c r="J341" s="9" t="s">
        <v>915</v>
      </c>
      <c r="K341" s="9" t="s">
        <v>22</v>
      </c>
      <c r="L341" s="9" t="s">
        <v>23</v>
      </c>
      <c r="M341" s="9" t="s">
        <v>1227</v>
      </c>
      <c r="N341" s="9" t="s">
        <v>117</v>
      </c>
      <c r="O341" s="9">
        <v>84041</v>
      </c>
      <c r="P341" s="9" t="s">
        <v>40</v>
      </c>
      <c r="Q341" s="9" t="s">
        <v>1228</v>
      </c>
      <c r="R341" s="9" t="s">
        <v>42</v>
      </c>
      <c r="S341" s="9" t="s">
        <v>265</v>
      </c>
      <c r="T341" s="9" t="s">
        <v>1229</v>
      </c>
      <c r="U341" s="11">
        <v>4.96</v>
      </c>
    </row>
    <row r="342" spans="1:21" x14ac:dyDescent="0.3">
      <c r="A342" s="4">
        <v>341</v>
      </c>
      <c r="B342" s="5" t="s">
        <v>1230</v>
      </c>
      <c r="C342" s="6">
        <v>42107</v>
      </c>
      <c r="D342" s="6" t="str">
        <f t="shared" si="15"/>
        <v>Apr</v>
      </c>
      <c r="E342" s="12">
        <f t="shared" si="16"/>
        <v>2015</v>
      </c>
      <c r="F342" s="6">
        <v>42111</v>
      </c>
      <c r="G342" s="12">
        <f t="shared" si="17"/>
        <v>4</v>
      </c>
      <c r="H342" s="5" t="s">
        <v>19</v>
      </c>
      <c r="I342" s="5" t="s">
        <v>578</v>
      </c>
      <c r="J342" s="5" t="s">
        <v>579</v>
      </c>
      <c r="K342" s="5" t="s">
        <v>37</v>
      </c>
      <c r="L342" s="5" t="s">
        <v>23</v>
      </c>
      <c r="M342" s="5" t="s">
        <v>142</v>
      </c>
      <c r="N342" s="5" t="s">
        <v>143</v>
      </c>
      <c r="O342" s="5">
        <v>19140</v>
      </c>
      <c r="P342" s="5" t="s">
        <v>144</v>
      </c>
      <c r="Q342" s="5" t="s">
        <v>1231</v>
      </c>
      <c r="R342" s="5" t="s">
        <v>42</v>
      </c>
      <c r="S342" s="5" t="s">
        <v>64</v>
      </c>
      <c r="T342" s="5" t="s">
        <v>1232</v>
      </c>
      <c r="U342" s="7">
        <v>17.856000000000002</v>
      </c>
    </row>
    <row r="343" spans="1:21" x14ac:dyDescent="0.3">
      <c r="A343" s="8">
        <v>342</v>
      </c>
      <c r="B343" s="9" t="s">
        <v>1230</v>
      </c>
      <c r="C343" s="10">
        <v>42107</v>
      </c>
      <c r="D343" s="6" t="str">
        <f t="shared" si="15"/>
        <v>Apr</v>
      </c>
      <c r="E343" s="12">
        <f t="shared" si="16"/>
        <v>2015</v>
      </c>
      <c r="F343" s="10">
        <v>42111</v>
      </c>
      <c r="G343" s="12">
        <f t="shared" si="17"/>
        <v>4</v>
      </c>
      <c r="H343" s="9" t="s">
        <v>19</v>
      </c>
      <c r="I343" s="9" t="s">
        <v>578</v>
      </c>
      <c r="J343" s="9" t="s">
        <v>579</v>
      </c>
      <c r="K343" s="9" t="s">
        <v>37</v>
      </c>
      <c r="L343" s="9" t="s">
        <v>23</v>
      </c>
      <c r="M343" s="9" t="s">
        <v>142</v>
      </c>
      <c r="N343" s="9" t="s">
        <v>143</v>
      </c>
      <c r="O343" s="9">
        <v>19140</v>
      </c>
      <c r="P343" s="9" t="s">
        <v>144</v>
      </c>
      <c r="Q343" s="9" t="s">
        <v>93</v>
      </c>
      <c r="R343" s="9" t="s">
        <v>42</v>
      </c>
      <c r="S343" s="9" t="s">
        <v>71</v>
      </c>
      <c r="T343" s="9" t="s">
        <v>94</v>
      </c>
      <c r="U343" s="11">
        <v>509.97</v>
      </c>
    </row>
    <row r="344" spans="1:21" x14ac:dyDescent="0.3">
      <c r="A344" s="4">
        <v>343</v>
      </c>
      <c r="B344" s="5" t="s">
        <v>1230</v>
      </c>
      <c r="C344" s="6">
        <v>42107</v>
      </c>
      <c r="D344" s="6" t="str">
        <f t="shared" si="15"/>
        <v>Apr</v>
      </c>
      <c r="E344" s="12">
        <f t="shared" si="16"/>
        <v>2015</v>
      </c>
      <c r="F344" s="6">
        <v>42111</v>
      </c>
      <c r="G344" s="12">
        <f t="shared" si="17"/>
        <v>4</v>
      </c>
      <c r="H344" s="5" t="s">
        <v>19</v>
      </c>
      <c r="I344" s="5" t="s">
        <v>578</v>
      </c>
      <c r="J344" s="5" t="s">
        <v>579</v>
      </c>
      <c r="K344" s="5" t="s">
        <v>37</v>
      </c>
      <c r="L344" s="5" t="s">
        <v>23</v>
      </c>
      <c r="M344" s="5" t="s">
        <v>142</v>
      </c>
      <c r="N344" s="5" t="s">
        <v>143</v>
      </c>
      <c r="O344" s="5">
        <v>19140</v>
      </c>
      <c r="P344" s="5" t="s">
        <v>144</v>
      </c>
      <c r="Q344" s="5" t="s">
        <v>558</v>
      </c>
      <c r="R344" s="5" t="s">
        <v>42</v>
      </c>
      <c r="S344" s="5" t="s">
        <v>265</v>
      </c>
      <c r="T344" s="5" t="s">
        <v>559</v>
      </c>
      <c r="U344" s="7">
        <v>30.992000000000001</v>
      </c>
    </row>
    <row r="345" spans="1:21" x14ac:dyDescent="0.3">
      <c r="A345" s="8">
        <v>344</v>
      </c>
      <c r="B345" s="9" t="s">
        <v>1230</v>
      </c>
      <c r="C345" s="10">
        <v>42107</v>
      </c>
      <c r="D345" s="6" t="str">
        <f t="shared" si="15"/>
        <v>Apr</v>
      </c>
      <c r="E345" s="12">
        <f t="shared" si="16"/>
        <v>2015</v>
      </c>
      <c r="F345" s="10">
        <v>42111</v>
      </c>
      <c r="G345" s="12">
        <f t="shared" si="17"/>
        <v>4</v>
      </c>
      <c r="H345" s="9" t="s">
        <v>19</v>
      </c>
      <c r="I345" s="9" t="s">
        <v>578</v>
      </c>
      <c r="J345" s="9" t="s">
        <v>579</v>
      </c>
      <c r="K345" s="9" t="s">
        <v>37</v>
      </c>
      <c r="L345" s="9" t="s">
        <v>23</v>
      </c>
      <c r="M345" s="9" t="s">
        <v>142</v>
      </c>
      <c r="N345" s="9" t="s">
        <v>143</v>
      </c>
      <c r="O345" s="9">
        <v>19140</v>
      </c>
      <c r="P345" s="9" t="s">
        <v>144</v>
      </c>
      <c r="Q345" s="9" t="s">
        <v>1233</v>
      </c>
      <c r="R345" s="9" t="s">
        <v>67</v>
      </c>
      <c r="S345" s="9" t="s">
        <v>68</v>
      </c>
      <c r="T345" s="9" t="s">
        <v>1234</v>
      </c>
      <c r="U345" s="11">
        <v>71.927999999999997</v>
      </c>
    </row>
    <row r="346" spans="1:21" x14ac:dyDescent="0.3">
      <c r="A346" s="4">
        <v>345</v>
      </c>
      <c r="B346" s="5" t="s">
        <v>1235</v>
      </c>
      <c r="C346" s="6">
        <v>42724</v>
      </c>
      <c r="D346" s="6" t="str">
        <f t="shared" si="15"/>
        <v>Dec</v>
      </c>
      <c r="E346" s="12">
        <f t="shared" si="16"/>
        <v>2016</v>
      </c>
      <c r="F346" s="6">
        <v>42728</v>
      </c>
      <c r="G346" s="12">
        <f t="shared" si="17"/>
        <v>4</v>
      </c>
      <c r="H346" s="5" t="s">
        <v>46</v>
      </c>
      <c r="I346" s="5" t="s">
        <v>693</v>
      </c>
      <c r="J346" s="5" t="s">
        <v>694</v>
      </c>
      <c r="K346" s="5" t="s">
        <v>22</v>
      </c>
      <c r="L346" s="5" t="s">
        <v>23</v>
      </c>
      <c r="M346" s="5" t="s">
        <v>1236</v>
      </c>
      <c r="N346" s="5" t="s">
        <v>100</v>
      </c>
      <c r="O346" s="5">
        <v>78745</v>
      </c>
      <c r="P346" s="5" t="s">
        <v>101</v>
      </c>
      <c r="Q346" s="5" t="s">
        <v>118</v>
      </c>
      <c r="R346" s="5" t="s">
        <v>42</v>
      </c>
      <c r="S346" s="5" t="s">
        <v>55</v>
      </c>
      <c r="T346" s="5" t="s">
        <v>119</v>
      </c>
      <c r="U346" s="7">
        <v>88.8</v>
      </c>
    </row>
    <row r="347" spans="1:21" x14ac:dyDescent="0.3">
      <c r="A347" s="8">
        <v>346</v>
      </c>
      <c r="B347" s="9" t="s">
        <v>1237</v>
      </c>
      <c r="C347" s="10">
        <v>43266</v>
      </c>
      <c r="D347" s="6" t="str">
        <f t="shared" si="15"/>
        <v>Jun</v>
      </c>
      <c r="E347" s="12">
        <f t="shared" si="16"/>
        <v>2018</v>
      </c>
      <c r="F347" s="10">
        <v>43270</v>
      </c>
      <c r="G347" s="12">
        <f t="shared" si="17"/>
        <v>4</v>
      </c>
      <c r="H347" s="9" t="s">
        <v>46</v>
      </c>
      <c r="I347" s="9" t="s">
        <v>1238</v>
      </c>
      <c r="J347" s="9" t="s">
        <v>1239</v>
      </c>
      <c r="K347" s="9" t="s">
        <v>22</v>
      </c>
      <c r="L347" s="9" t="s">
        <v>23</v>
      </c>
      <c r="M347" s="9" t="s">
        <v>123</v>
      </c>
      <c r="N347" s="9" t="s">
        <v>39</v>
      </c>
      <c r="O347" s="9">
        <v>94122</v>
      </c>
      <c r="P347" s="9" t="s">
        <v>40</v>
      </c>
      <c r="Q347" s="9" t="s">
        <v>554</v>
      </c>
      <c r="R347" s="9" t="s">
        <v>67</v>
      </c>
      <c r="S347" s="9" t="s">
        <v>68</v>
      </c>
      <c r="T347" s="9" t="s">
        <v>555</v>
      </c>
      <c r="U347" s="11">
        <v>47.975999999999999</v>
      </c>
    </row>
    <row r="348" spans="1:21" x14ac:dyDescent="0.3">
      <c r="A348" s="4">
        <v>347</v>
      </c>
      <c r="B348" s="5" t="s">
        <v>1240</v>
      </c>
      <c r="C348" s="6">
        <v>43289</v>
      </c>
      <c r="D348" s="6" t="str">
        <f t="shared" si="15"/>
        <v>Jul</v>
      </c>
      <c r="E348" s="12">
        <f t="shared" si="16"/>
        <v>2018</v>
      </c>
      <c r="F348" s="6">
        <v>43293</v>
      </c>
      <c r="G348" s="12">
        <f t="shared" si="17"/>
        <v>4</v>
      </c>
      <c r="H348" s="5" t="s">
        <v>46</v>
      </c>
      <c r="I348" s="5" t="s">
        <v>1241</v>
      </c>
      <c r="J348" s="5" t="s">
        <v>1242</v>
      </c>
      <c r="K348" s="5" t="s">
        <v>22</v>
      </c>
      <c r="L348" s="5" t="s">
        <v>23</v>
      </c>
      <c r="M348" s="5" t="s">
        <v>1243</v>
      </c>
      <c r="N348" s="5" t="s">
        <v>1244</v>
      </c>
      <c r="O348" s="5">
        <v>1852</v>
      </c>
      <c r="P348" s="5" t="s">
        <v>144</v>
      </c>
      <c r="Q348" s="5" t="s">
        <v>780</v>
      </c>
      <c r="R348" s="5" t="s">
        <v>42</v>
      </c>
      <c r="S348" s="5" t="s">
        <v>64</v>
      </c>
      <c r="T348" s="5" t="s">
        <v>781</v>
      </c>
      <c r="U348" s="7">
        <v>7.56</v>
      </c>
    </row>
    <row r="349" spans="1:21" x14ac:dyDescent="0.3">
      <c r="A349" s="8">
        <v>348</v>
      </c>
      <c r="B349" s="9" t="s">
        <v>1240</v>
      </c>
      <c r="C349" s="10">
        <v>43289</v>
      </c>
      <c r="D349" s="6" t="str">
        <f t="shared" si="15"/>
        <v>Jul</v>
      </c>
      <c r="E349" s="12">
        <f t="shared" si="16"/>
        <v>2018</v>
      </c>
      <c r="F349" s="10">
        <v>43293</v>
      </c>
      <c r="G349" s="12">
        <f t="shared" si="17"/>
        <v>4</v>
      </c>
      <c r="H349" s="9" t="s">
        <v>46</v>
      </c>
      <c r="I349" s="9" t="s">
        <v>1241</v>
      </c>
      <c r="J349" s="9" t="s">
        <v>1242</v>
      </c>
      <c r="K349" s="9" t="s">
        <v>22</v>
      </c>
      <c r="L349" s="9" t="s">
        <v>23</v>
      </c>
      <c r="M349" s="9" t="s">
        <v>1243</v>
      </c>
      <c r="N349" s="9" t="s">
        <v>1244</v>
      </c>
      <c r="O349" s="9">
        <v>1852</v>
      </c>
      <c r="P349" s="9" t="s">
        <v>144</v>
      </c>
      <c r="Q349" s="9" t="s">
        <v>181</v>
      </c>
      <c r="R349" s="9" t="s">
        <v>42</v>
      </c>
      <c r="S349" s="9" t="s">
        <v>86</v>
      </c>
      <c r="T349" s="9" t="s">
        <v>182</v>
      </c>
      <c r="U349" s="11">
        <v>24.56</v>
      </c>
    </row>
    <row r="350" spans="1:21" x14ac:dyDescent="0.3">
      <c r="A350" s="4">
        <v>349</v>
      </c>
      <c r="B350" s="5" t="s">
        <v>1240</v>
      </c>
      <c r="C350" s="6">
        <v>43289</v>
      </c>
      <c r="D350" s="6" t="str">
        <f t="shared" si="15"/>
        <v>Jul</v>
      </c>
      <c r="E350" s="12">
        <f t="shared" si="16"/>
        <v>2018</v>
      </c>
      <c r="F350" s="6">
        <v>43293</v>
      </c>
      <c r="G350" s="12">
        <f t="shared" si="17"/>
        <v>4</v>
      </c>
      <c r="H350" s="5" t="s">
        <v>46</v>
      </c>
      <c r="I350" s="5" t="s">
        <v>1241</v>
      </c>
      <c r="J350" s="5" t="s">
        <v>1242</v>
      </c>
      <c r="K350" s="5" t="s">
        <v>22</v>
      </c>
      <c r="L350" s="5" t="s">
        <v>23</v>
      </c>
      <c r="M350" s="5" t="s">
        <v>1243</v>
      </c>
      <c r="N350" s="5" t="s">
        <v>1244</v>
      </c>
      <c r="O350" s="5">
        <v>1852</v>
      </c>
      <c r="P350" s="5" t="s">
        <v>144</v>
      </c>
      <c r="Q350" s="5" t="s">
        <v>1245</v>
      </c>
      <c r="R350" s="5" t="s">
        <v>42</v>
      </c>
      <c r="S350" s="5" t="s">
        <v>64</v>
      </c>
      <c r="T350" s="5" t="s">
        <v>1246</v>
      </c>
      <c r="U350" s="7">
        <v>12.96</v>
      </c>
    </row>
    <row r="351" spans="1:21" x14ac:dyDescent="0.3">
      <c r="A351" s="8">
        <v>350</v>
      </c>
      <c r="B351" s="9" t="s">
        <v>1247</v>
      </c>
      <c r="C351" s="10">
        <v>42979</v>
      </c>
      <c r="D351" s="6" t="str">
        <f t="shared" si="15"/>
        <v>Sep</v>
      </c>
      <c r="E351" s="12">
        <f t="shared" si="16"/>
        <v>2017</v>
      </c>
      <c r="F351" s="10">
        <v>42981</v>
      </c>
      <c r="G351" s="12">
        <f t="shared" si="17"/>
        <v>2</v>
      </c>
      <c r="H351" s="9" t="s">
        <v>184</v>
      </c>
      <c r="I351" s="9" t="s">
        <v>1248</v>
      </c>
      <c r="J351" s="9" t="s">
        <v>1249</v>
      </c>
      <c r="K351" s="9" t="s">
        <v>98</v>
      </c>
      <c r="L351" s="9" t="s">
        <v>23</v>
      </c>
      <c r="M351" s="9" t="s">
        <v>262</v>
      </c>
      <c r="N351" s="9" t="s">
        <v>263</v>
      </c>
      <c r="O351" s="9">
        <v>10009</v>
      </c>
      <c r="P351" s="9" t="s">
        <v>144</v>
      </c>
      <c r="Q351" s="9" t="s">
        <v>966</v>
      </c>
      <c r="R351" s="9" t="s">
        <v>67</v>
      </c>
      <c r="S351" s="9" t="s">
        <v>157</v>
      </c>
      <c r="T351" s="9" t="s">
        <v>967</v>
      </c>
      <c r="U351" s="11">
        <v>6.79</v>
      </c>
    </row>
    <row r="352" spans="1:21" x14ac:dyDescent="0.3">
      <c r="A352" s="4">
        <v>351</v>
      </c>
      <c r="B352" s="5" t="s">
        <v>1247</v>
      </c>
      <c r="C352" s="6">
        <v>42979</v>
      </c>
      <c r="D352" s="6" t="str">
        <f t="shared" si="15"/>
        <v>Sep</v>
      </c>
      <c r="E352" s="12">
        <f t="shared" si="16"/>
        <v>2017</v>
      </c>
      <c r="F352" s="6">
        <v>42981</v>
      </c>
      <c r="G352" s="12">
        <f t="shared" si="17"/>
        <v>2</v>
      </c>
      <c r="H352" s="5" t="s">
        <v>184</v>
      </c>
      <c r="I352" s="5" t="s">
        <v>1248</v>
      </c>
      <c r="J352" s="5" t="s">
        <v>1249</v>
      </c>
      <c r="K352" s="5" t="s">
        <v>98</v>
      </c>
      <c r="L352" s="5" t="s">
        <v>23</v>
      </c>
      <c r="M352" s="5" t="s">
        <v>262</v>
      </c>
      <c r="N352" s="5" t="s">
        <v>263</v>
      </c>
      <c r="O352" s="5">
        <v>10009</v>
      </c>
      <c r="P352" s="5" t="s">
        <v>144</v>
      </c>
      <c r="Q352" s="5" t="s">
        <v>1250</v>
      </c>
      <c r="R352" s="5" t="s">
        <v>42</v>
      </c>
      <c r="S352" s="5" t="s">
        <v>86</v>
      </c>
      <c r="T352" s="5" t="s">
        <v>1251</v>
      </c>
      <c r="U352" s="7">
        <v>24.56</v>
      </c>
    </row>
    <row r="353" spans="1:21" x14ac:dyDescent="0.3">
      <c r="A353" s="8">
        <v>352</v>
      </c>
      <c r="B353" s="9" t="s">
        <v>1247</v>
      </c>
      <c r="C353" s="10">
        <v>42979</v>
      </c>
      <c r="D353" s="6" t="str">
        <f t="shared" si="15"/>
        <v>Sep</v>
      </c>
      <c r="E353" s="12">
        <f t="shared" si="16"/>
        <v>2017</v>
      </c>
      <c r="F353" s="10">
        <v>42981</v>
      </c>
      <c r="G353" s="12">
        <f t="shared" si="17"/>
        <v>2</v>
      </c>
      <c r="H353" s="9" t="s">
        <v>184</v>
      </c>
      <c r="I353" s="9" t="s">
        <v>1248</v>
      </c>
      <c r="J353" s="9" t="s">
        <v>1249</v>
      </c>
      <c r="K353" s="9" t="s">
        <v>98</v>
      </c>
      <c r="L353" s="9" t="s">
        <v>23</v>
      </c>
      <c r="M353" s="9" t="s">
        <v>262</v>
      </c>
      <c r="N353" s="9" t="s">
        <v>263</v>
      </c>
      <c r="O353" s="9">
        <v>10009</v>
      </c>
      <c r="P353" s="9" t="s">
        <v>144</v>
      </c>
      <c r="Q353" s="9" t="s">
        <v>1252</v>
      </c>
      <c r="R353" s="9" t="s">
        <v>42</v>
      </c>
      <c r="S353" s="9" t="s">
        <v>71</v>
      </c>
      <c r="T353" s="9" t="s">
        <v>1253</v>
      </c>
      <c r="U353" s="11">
        <v>3.048</v>
      </c>
    </row>
    <row r="354" spans="1:21" x14ac:dyDescent="0.3">
      <c r="A354" s="4">
        <v>353</v>
      </c>
      <c r="B354" s="5" t="s">
        <v>1247</v>
      </c>
      <c r="C354" s="6">
        <v>42979</v>
      </c>
      <c r="D354" s="6" t="str">
        <f t="shared" si="15"/>
        <v>Sep</v>
      </c>
      <c r="E354" s="12">
        <f t="shared" si="16"/>
        <v>2017</v>
      </c>
      <c r="F354" s="6">
        <v>42981</v>
      </c>
      <c r="G354" s="12">
        <f t="shared" si="17"/>
        <v>2</v>
      </c>
      <c r="H354" s="5" t="s">
        <v>184</v>
      </c>
      <c r="I354" s="5" t="s">
        <v>1248</v>
      </c>
      <c r="J354" s="5" t="s">
        <v>1249</v>
      </c>
      <c r="K354" s="5" t="s">
        <v>98</v>
      </c>
      <c r="L354" s="5" t="s">
        <v>23</v>
      </c>
      <c r="M354" s="5" t="s">
        <v>262</v>
      </c>
      <c r="N354" s="5" t="s">
        <v>263</v>
      </c>
      <c r="O354" s="5">
        <v>10009</v>
      </c>
      <c r="P354" s="5" t="s">
        <v>144</v>
      </c>
      <c r="Q354" s="5" t="s">
        <v>1250</v>
      </c>
      <c r="R354" s="5" t="s">
        <v>42</v>
      </c>
      <c r="S354" s="5" t="s">
        <v>86</v>
      </c>
      <c r="T354" s="5" t="s">
        <v>1251</v>
      </c>
      <c r="U354" s="7">
        <v>49.12</v>
      </c>
    </row>
    <row r="355" spans="1:21" x14ac:dyDescent="0.3">
      <c r="A355" s="8">
        <v>354</v>
      </c>
      <c r="B355" s="9" t="s">
        <v>1247</v>
      </c>
      <c r="C355" s="10">
        <v>42979</v>
      </c>
      <c r="D355" s="6" t="str">
        <f t="shared" si="15"/>
        <v>Sep</v>
      </c>
      <c r="E355" s="12">
        <f t="shared" si="16"/>
        <v>2017</v>
      </c>
      <c r="F355" s="10">
        <v>42981</v>
      </c>
      <c r="G355" s="12">
        <f t="shared" si="17"/>
        <v>2</v>
      </c>
      <c r="H355" s="9" t="s">
        <v>184</v>
      </c>
      <c r="I355" s="9" t="s">
        <v>1248</v>
      </c>
      <c r="J355" s="9" t="s">
        <v>1249</v>
      </c>
      <c r="K355" s="9" t="s">
        <v>98</v>
      </c>
      <c r="L355" s="9" t="s">
        <v>23</v>
      </c>
      <c r="M355" s="9" t="s">
        <v>262</v>
      </c>
      <c r="N355" s="9" t="s">
        <v>263</v>
      </c>
      <c r="O355" s="9">
        <v>10009</v>
      </c>
      <c r="P355" s="9" t="s">
        <v>144</v>
      </c>
      <c r="Q355" s="9" t="s">
        <v>1254</v>
      </c>
      <c r="R355" s="9" t="s">
        <v>42</v>
      </c>
      <c r="S355" s="9" t="s">
        <v>71</v>
      </c>
      <c r="T355" s="9" t="s">
        <v>1255</v>
      </c>
      <c r="U355" s="11">
        <v>4355.1679999999997</v>
      </c>
    </row>
    <row r="356" spans="1:21" x14ac:dyDescent="0.3">
      <c r="A356" s="4">
        <v>355</v>
      </c>
      <c r="B356" s="5" t="s">
        <v>1256</v>
      </c>
      <c r="C356" s="6">
        <v>42833</v>
      </c>
      <c r="D356" s="6" t="str">
        <f t="shared" si="15"/>
        <v>Apr</v>
      </c>
      <c r="E356" s="12">
        <f t="shared" si="16"/>
        <v>2017</v>
      </c>
      <c r="F356" s="6">
        <v>42838</v>
      </c>
      <c r="G356" s="12">
        <f t="shared" si="17"/>
        <v>5</v>
      </c>
      <c r="H356" s="5" t="s">
        <v>46</v>
      </c>
      <c r="I356" s="5" t="s">
        <v>1257</v>
      </c>
      <c r="J356" s="5" t="s">
        <v>1258</v>
      </c>
      <c r="K356" s="5" t="s">
        <v>22</v>
      </c>
      <c r="L356" s="5" t="s">
        <v>23</v>
      </c>
      <c r="M356" s="5" t="s">
        <v>262</v>
      </c>
      <c r="N356" s="5" t="s">
        <v>263</v>
      </c>
      <c r="O356" s="5">
        <v>10035</v>
      </c>
      <c r="P356" s="5" t="s">
        <v>144</v>
      </c>
      <c r="Q356" s="5" t="s">
        <v>1259</v>
      </c>
      <c r="R356" s="5" t="s">
        <v>28</v>
      </c>
      <c r="S356" s="5" t="s">
        <v>29</v>
      </c>
      <c r="T356" s="5" t="s">
        <v>1260</v>
      </c>
      <c r="U356" s="7">
        <v>388.70400000000001</v>
      </c>
    </row>
    <row r="357" spans="1:21" x14ac:dyDescent="0.3">
      <c r="A357" s="8">
        <v>356</v>
      </c>
      <c r="B357" s="9" t="s">
        <v>1256</v>
      </c>
      <c r="C357" s="10">
        <v>42833</v>
      </c>
      <c r="D357" s="6" t="str">
        <f t="shared" si="15"/>
        <v>Apr</v>
      </c>
      <c r="E357" s="12">
        <f t="shared" si="16"/>
        <v>2017</v>
      </c>
      <c r="F357" s="10">
        <v>42838</v>
      </c>
      <c r="G357" s="12">
        <f t="shared" si="17"/>
        <v>5</v>
      </c>
      <c r="H357" s="9" t="s">
        <v>46</v>
      </c>
      <c r="I357" s="9" t="s">
        <v>1257</v>
      </c>
      <c r="J357" s="9" t="s">
        <v>1258</v>
      </c>
      <c r="K357" s="9" t="s">
        <v>22</v>
      </c>
      <c r="L357" s="9" t="s">
        <v>23</v>
      </c>
      <c r="M357" s="9" t="s">
        <v>262</v>
      </c>
      <c r="N357" s="9" t="s">
        <v>263</v>
      </c>
      <c r="O357" s="9">
        <v>10035</v>
      </c>
      <c r="P357" s="9" t="s">
        <v>144</v>
      </c>
      <c r="Q357" s="9" t="s">
        <v>1261</v>
      </c>
      <c r="R357" s="9" t="s">
        <v>42</v>
      </c>
      <c r="S357" s="9" t="s">
        <v>169</v>
      </c>
      <c r="T357" s="9" t="s">
        <v>1262</v>
      </c>
      <c r="U357" s="11">
        <v>8.26</v>
      </c>
    </row>
    <row r="358" spans="1:21" x14ac:dyDescent="0.3">
      <c r="A358" s="4">
        <v>357</v>
      </c>
      <c r="B358" s="5" t="s">
        <v>1256</v>
      </c>
      <c r="C358" s="6">
        <v>42833</v>
      </c>
      <c r="D358" s="6" t="str">
        <f t="shared" si="15"/>
        <v>Apr</v>
      </c>
      <c r="E358" s="12">
        <f t="shared" si="16"/>
        <v>2017</v>
      </c>
      <c r="F358" s="6">
        <v>42838</v>
      </c>
      <c r="G358" s="12">
        <f t="shared" si="17"/>
        <v>5</v>
      </c>
      <c r="H358" s="5" t="s">
        <v>46</v>
      </c>
      <c r="I358" s="5" t="s">
        <v>1257</v>
      </c>
      <c r="J358" s="5" t="s">
        <v>1258</v>
      </c>
      <c r="K358" s="5" t="s">
        <v>22</v>
      </c>
      <c r="L358" s="5" t="s">
        <v>23</v>
      </c>
      <c r="M358" s="5" t="s">
        <v>262</v>
      </c>
      <c r="N358" s="5" t="s">
        <v>263</v>
      </c>
      <c r="O358" s="5">
        <v>10035</v>
      </c>
      <c r="P358" s="5" t="s">
        <v>144</v>
      </c>
      <c r="Q358" s="5" t="s">
        <v>1263</v>
      </c>
      <c r="R358" s="5" t="s">
        <v>42</v>
      </c>
      <c r="S358" s="5" t="s">
        <v>64</v>
      </c>
      <c r="T358" s="5" t="s">
        <v>1264</v>
      </c>
      <c r="U358" s="7">
        <v>17.04</v>
      </c>
    </row>
    <row r="359" spans="1:21" x14ac:dyDescent="0.3">
      <c r="A359" s="8">
        <v>358</v>
      </c>
      <c r="B359" s="9" t="s">
        <v>1256</v>
      </c>
      <c r="C359" s="10">
        <v>42833</v>
      </c>
      <c r="D359" s="6" t="str">
        <f t="shared" si="15"/>
        <v>Apr</v>
      </c>
      <c r="E359" s="12">
        <f t="shared" si="16"/>
        <v>2017</v>
      </c>
      <c r="F359" s="10">
        <v>42838</v>
      </c>
      <c r="G359" s="12">
        <f t="shared" si="17"/>
        <v>5</v>
      </c>
      <c r="H359" s="9" t="s">
        <v>46</v>
      </c>
      <c r="I359" s="9" t="s">
        <v>1257</v>
      </c>
      <c r="J359" s="9" t="s">
        <v>1258</v>
      </c>
      <c r="K359" s="9" t="s">
        <v>22</v>
      </c>
      <c r="L359" s="9" t="s">
        <v>23</v>
      </c>
      <c r="M359" s="9" t="s">
        <v>262</v>
      </c>
      <c r="N359" s="9" t="s">
        <v>263</v>
      </c>
      <c r="O359" s="9">
        <v>10035</v>
      </c>
      <c r="P359" s="9" t="s">
        <v>144</v>
      </c>
      <c r="Q359" s="9" t="s">
        <v>1265</v>
      </c>
      <c r="R359" s="9" t="s">
        <v>42</v>
      </c>
      <c r="S359" s="9" t="s">
        <v>86</v>
      </c>
      <c r="T359" s="9" t="s">
        <v>1266</v>
      </c>
      <c r="U359" s="11">
        <v>34.4</v>
      </c>
    </row>
    <row r="360" spans="1:21" x14ac:dyDescent="0.3">
      <c r="A360" s="4">
        <v>359</v>
      </c>
      <c r="B360" s="5" t="s">
        <v>1267</v>
      </c>
      <c r="C360" s="6">
        <v>42848</v>
      </c>
      <c r="D360" s="6" t="str">
        <f t="shared" si="15"/>
        <v>Apr</v>
      </c>
      <c r="E360" s="12">
        <f t="shared" si="16"/>
        <v>2017</v>
      </c>
      <c r="F360" s="6">
        <v>42853</v>
      </c>
      <c r="G360" s="12">
        <f t="shared" si="17"/>
        <v>5</v>
      </c>
      <c r="H360" s="5" t="s">
        <v>46</v>
      </c>
      <c r="I360" s="5" t="s">
        <v>817</v>
      </c>
      <c r="J360" s="5" t="s">
        <v>818</v>
      </c>
      <c r="K360" s="5" t="s">
        <v>37</v>
      </c>
      <c r="L360" s="5" t="s">
        <v>23</v>
      </c>
      <c r="M360" s="5" t="s">
        <v>463</v>
      </c>
      <c r="N360" s="5" t="s">
        <v>84</v>
      </c>
      <c r="O360" s="5">
        <v>28205</v>
      </c>
      <c r="P360" s="5" t="s">
        <v>26</v>
      </c>
      <c r="Q360" s="5" t="s">
        <v>800</v>
      </c>
      <c r="R360" s="5" t="s">
        <v>42</v>
      </c>
      <c r="S360" s="5" t="s">
        <v>86</v>
      </c>
      <c r="T360" s="5" t="s">
        <v>801</v>
      </c>
      <c r="U360" s="7">
        <v>36.24</v>
      </c>
    </row>
    <row r="361" spans="1:21" x14ac:dyDescent="0.3">
      <c r="A361" s="8">
        <v>360</v>
      </c>
      <c r="B361" s="9" t="s">
        <v>1268</v>
      </c>
      <c r="C361" s="10">
        <v>43167</v>
      </c>
      <c r="D361" s="6" t="str">
        <f t="shared" si="15"/>
        <v>Mar</v>
      </c>
      <c r="E361" s="12">
        <f t="shared" si="16"/>
        <v>2018</v>
      </c>
      <c r="F361" s="10">
        <v>43170</v>
      </c>
      <c r="G361" s="12">
        <f t="shared" si="17"/>
        <v>3</v>
      </c>
      <c r="H361" s="9" t="s">
        <v>184</v>
      </c>
      <c r="I361" s="9" t="s">
        <v>1269</v>
      </c>
      <c r="J361" s="9" t="s">
        <v>1270</v>
      </c>
      <c r="K361" s="9" t="s">
        <v>37</v>
      </c>
      <c r="L361" s="9" t="s">
        <v>23</v>
      </c>
      <c r="M361" s="9" t="s">
        <v>493</v>
      </c>
      <c r="N361" s="9" t="s">
        <v>1271</v>
      </c>
      <c r="O361" s="9">
        <v>31907</v>
      </c>
      <c r="P361" s="9" t="s">
        <v>26</v>
      </c>
      <c r="Q361" s="9" t="s">
        <v>1272</v>
      </c>
      <c r="R361" s="9" t="s">
        <v>42</v>
      </c>
      <c r="S361" s="9" t="s">
        <v>74</v>
      </c>
      <c r="T361" s="9" t="s">
        <v>1273</v>
      </c>
      <c r="U361" s="11">
        <v>647.84</v>
      </c>
    </row>
    <row r="362" spans="1:21" x14ac:dyDescent="0.3">
      <c r="A362" s="4">
        <v>361</v>
      </c>
      <c r="B362" s="5" t="s">
        <v>1268</v>
      </c>
      <c r="C362" s="6">
        <v>43167</v>
      </c>
      <c r="D362" s="6" t="str">
        <f t="shared" si="15"/>
        <v>Mar</v>
      </c>
      <c r="E362" s="12">
        <f t="shared" si="16"/>
        <v>2018</v>
      </c>
      <c r="F362" s="6">
        <v>43170</v>
      </c>
      <c r="G362" s="12">
        <f t="shared" si="17"/>
        <v>3</v>
      </c>
      <c r="H362" s="5" t="s">
        <v>184</v>
      </c>
      <c r="I362" s="5" t="s">
        <v>1269</v>
      </c>
      <c r="J362" s="5" t="s">
        <v>1270</v>
      </c>
      <c r="K362" s="5" t="s">
        <v>37</v>
      </c>
      <c r="L362" s="5" t="s">
        <v>23</v>
      </c>
      <c r="M362" s="5" t="s">
        <v>493</v>
      </c>
      <c r="N362" s="5" t="s">
        <v>1271</v>
      </c>
      <c r="O362" s="5">
        <v>31907</v>
      </c>
      <c r="P362" s="5" t="s">
        <v>26</v>
      </c>
      <c r="Q362" s="5" t="s">
        <v>1274</v>
      </c>
      <c r="R362" s="5" t="s">
        <v>42</v>
      </c>
      <c r="S362" s="5" t="s">
        <v>43</v>
      </c>
      <c r="T362" s="5" t="s">
        <v>1275</v>
      </c>
      <c r="U362" s="7">
        <v>20.7</v>
      </c>
    </row>
    <row r="363" spans="1:21" x14ac:dyDescent="0.3">
      <c r="A363" s="8">
        <v>362</v>
      </c>
      <c r="B363" s="9" t="s">
        <v>1276</v>
      </c>
      <c r="C363" s="10">
        <v>43368</v>
      </c>
      <c r="D363" s="6" t="str">
        <f t="shared" si="15"/>
        <v>Sep</v>
      </c>
      <c r="E363" s="12">
        <f t="shared" si="16"/>
        <v>2018</v>
      </c>
      <c r="F363" s="10">
        <v>43374</v>
      </c>
      <c r="G363" s="12">
        <f t="shared" si="17"/>
        <v>6</v>
      </c>
      <c r="H363" s="9" t="s">
        <v>46</v>
      </c>
      <c r="I363" s="9" t="s">
        <v>1277</v>
      </c>
      <c r="J363" s="9" t="s">
        <v>1278</v>
      </c>
      <c r="K363" s="9" t="s">
        <v>22</v>
      </c>
      <c r="L363" s="9" t="s">
        <v>23</v>
      </c>
      <c r="M363" s="9" t="s">
        <v>262</v>
      </c>
      <c r="N363" s="9" t="s">
        <v>263</v>
      </c>
      <c r="O363" s="9">
        <v>10009</v>
      </c>
      <c r="P363" s="9" t="s">
        <v>144</v>
      </c>
      <c r="Q363" s="9" t="s">
        <v>1274</v>
      </c>
      <c r="R363" s="9" t="s">
        <v>42</v>
      </c>
      <c r="S363" s="9" t="s">
        <v>43</v>
      </c>
      <c r="T363" s="9" t="s">
        <v>1275</v>
      </c>
      <c r="U363" s="11">
        <v>20.7</v>
      </c>
    </row>
    <row r="364" spans="1:21" x14ac:dyDescent="0.3">
      <c r="A364" s="4">
        <v>363</v>
      </c>
      <c r="B364" s="5" t="s">
        <v>1276</v>
      </c>
      <c r="C364" s="6">
        <v>43368</v>
      </c>
      <c r="D364" s="6" t="str">
        <f t="shared" si="15"/>
        <v>Sep</v>
      </c>
      <c r="E364" s="12">
        <f t="shared" si="16"/>
        <v>2018</v>
      </c>
      <c r="F364" s="6">
        <v>43374</v>
      </c>
      <c r="G364" s="12">
        <f t="shared" si="17"/>
        <v>6</v>
      </c>
      <c r="H364" s="5" t="s">
        <v>46</v>
      </c>
      <c r="I364" s="5" t="s">
        <v>1277</v>
      </c>
      <c r="J364" s="5" t="s">
        <v>1278</v>
      </c>
      <c r="K364" s="5" t="s">
        <v>22</v>
      </c>
      <c r="L364" s="5" t="s">
        <v>23</v>
      </c>
      <c r="M364" s="5" t="s">
        <v>262</v>
      </c>
      <c r="N364" s="5" t="s">
        <v>263</v>
      </c>
      <c r="O364" s="5">
        <v>10009</v>
      </c>
      <c r="P364" s="5" t="s">
        <v>144</v>
      </c>
      <c r="Q364" s="5" t="s">
        <v>1279</v>
      </c>
      <c r="R364" s="5" t="s">
        <v>28</v>
      </c>
      <c r="S364" s="5" t="s">
        <v>32</v>
      </c>
      <c r="T364" s="5" t="s">
        <v>1280</v>
      </c>
      <c r="U364" s="7">
        <v>488.64600000000002</v>
      </c>
    </row>
    <row r="365" spans="1:21" x14ac:dyDescent="0.3">
      <c r="A365" s="8">
        <v>364</v>
      </c>
      <c r="B365" s="9" t="s">
        <v>1276</v>
      </c>
      <c r="C365" s="10">
        <v>43368</v>
      </c>
      <c r="D365" s="6" t="str">
        <f t="shared" si="15"/>
        <v>Sep</v>
      </c>
      <c r="E365" s="12">
        <f t="shared" si="16"/>
        <v>2018</v>
      </c>
      <c r="F365" s="10">
        <v>43374</v>
      </c>
      <c r="G365" s="12">
        <f t="shared" si="17"/>
        <v>6</v>
      </c>
      <c r="H365" s="9" t="s">
        <v>46</v>
      </c>
      <c r="I365" s="9" t="s">
        <v>1277</v>
      </c>
      <c r="J365" s="9" t="s">
        <v>1278</v>
      </c>
      <c r="K365" s="9" t="s">
        <v>22</v>
      </c>
      <c r="L365" s="9" t="s">
        <v>23</v>
      </c>
      <c r="M365" s="9" t="s">
        <v>262</v>
      </c>
      <c r="N365" s="9" t="s">
        <v>263</v>
      </c>
      <c r="O365" s="9">
        <v>10009</v>
      </c>
      <c r="P365" s="9" t="s">
        <v>144</v>
      </c>
      <c r="Q365" s="9" t="s">
        <v>1281</v>
      </c>
      <c r="R365" s="9" t="s">
        <v>42</v>
      </c>
      <c r="S365" s="9" t="s">
        <v>64</v>
      </c>
      <c r="T365" s="9" t="s">
        <v>1282</v>
      </c>
      <c r="U365" s="11">
        <v>5.56</v>
      </c>
    </row>
    <row r="366" spans="1:21" x14ac:dyDescent="0.3">
      <c r="A366" s="4">
        <v>365</v>
      </c>
      <c r="B366" s="5" t="s">
        <v>1276</v>
      </c>
      <c r="C366" s="6">
        <v>43368</v>
      </c>
      <c r="D366" s="6" t="str">
        <f t="shared" si="15"/>
        <v>Sep</v>
      </c>
      <c r="E366" s="12">
        <f t="shared" si="16"/>
        <v>2018</v>
      </c>
      <c r="F366" s="6">
        <v>43374</v>
      </c>
      <c r="G366" s="12">
        <f t="shared" si="17"/>
        <v>6</v>
      </c>
      <c r="H366" s="5" t="s">
        <v>46</v>
      </c>
      <c r="I366" s="5" t="s">
        <v>1277</v>
      </c>
      <c r="J366" s="5" t="s">
        <v>1278</v>
      </c>
      <c r="K366" s="5" t="s">
        <v>22</v>
      </c>
      <c r="L366" s="5" t="s">
        <v>23</v>
      </c>
      <c r="M366" s="5" t="s">
        <v>262</v>
      </c>
      <c r="N366" s="5" t="s">
        <v>263</v>
      </c>
      <c r="O366" s="5">
        <v>10009</v>
      </c>
      <c r="P366" s="5" t="s">
        <v>144</v>
      </c>
      <c r="Q366" s="5" t="s">
        <v>1283</v>
      </c>
      <c r="R366" s="5" t="s">
        <v>28</v>
      </c>
      <c r="S366" s="5" t="s">
        <v>61</v>
      </c>
      <c r="T366" s="5" t="s">
        <v>1284</v>
      </c>
      <c r="U366" s="7">
        <v>47.12</v>
      </c>
    </row>
    <row r="367" spans="1:21" x14ac:dyDescent="0.3">
      <c r="A367" s="8">
        <v>366</v>
      </c>
      <c r="B367" s="9" t="s">
        <v>1285</v>
      </c>
      <c r="C367" s="10">
        <v>42271</v>
      </c>
      <c r="D367" s="6" t="str">
        <f t="shared" si="15"/>
        <v>Sep</v>
      </c>
      <c r="E367" s="12">
        <f t="shared" si="16"/>
        <v>2015</v>
      </c>
      <c r="F367" s="10">
        <v>42276</v>
      </c>
      <c r="G367" s="12">
        <f t="shared" si="17"/>
        <v>5</v>
      </c>
      <c r="H367" s="9" t="s">
        <v>46</v>
      </c>
      <c r="I367" s="9" t="s">
        <v>1286</v>
      </c>
      <c r="J367" s="9" t="s">
        <v>1287</v>
      </c>
      <c r="K367" s="9" t="s">
        <v>22</v>
      </c>
      <c r="L367" s="9" t="s">
        <v>23</v>
      </c>
      <c r="M367" s="9" t="s">
        <v>123</v>
      </c>
      <c r="N367" s="9" t="s">
        <v>39</v>
      </c>
      <c r="O367" s="9">
        <v>94109</v>
      </c>
      <c r="P367" s="9" t="s">
        <v>40</v>
      </c>
      <c r="Q367" s="9" t="s">
        <v>235</v>
      </c>
      <c r="R367" s="9" t="s">
        <v>42</v>
      </c>
      <c r="S367" s="9" t="s">
        <v>55</v>
      </c>
      <c r="T367" s="9" t="s">
        <v>236</v>
      </c>
      <c r="U367" s="11">
        <v>211.96</v>
      </c>
    </row>
    <row r="368" spans="1:21" x14ac:dyDescent="0.3">
      <c r="A368" s="4">
        <v>367</v>
      </c>
      <c r="B368" s="5" t="s">
        <v>1288</v>
      </c>
      <c r="C368" s="6">
        <v>43029</v>
      </c>
      <c r="D368" s="6" t="str">
        <f t="shared" si="15"/>
        <v>Oct</v>
      </c>
      <c r="E368" s="12">
        <f t="shared" si="16"/>
        <v>2017</v>
      </c>
      <c r="F368" s="6">
        <v>43029</v>
      </c>
      <c r="G368" s="12">
        <f t="shared" si="17"/>
        <v>0</v>
      </c>
      <c r="H368" s="5" t="s">
        <v>1289</v>
      </c>
      <c r="I368" s="5" t="s">
        <v>1290</v>
      </c>
      <c r="J368" s="5" t="s">
        <v>1291</v>
      </c>
      <c r="K368" s="5" t="s">
        <v>37</v>
      </c>
      <c r="L368" s="5" t="s">
        <v>23</v>
      </c>
      <c r="M368" s="5" t="s">
        <v>1292</v>
      </c>
      <c r="N368" s="5" t="s">
        <v>745</v>
      </c>
      <c r="O368" s="5">
        <v>6040</v>
      </c>
      <c r="P368" s="5" t="s">
        <v>144</v>
      </c>
      <c r="Q368" s="5" t="s">
        <v>1293</v>
      </c>
      <c r="R368" s="5" t="s">
        <v>42</v>
      </c>
      <c r="S368" s="5" t="s">
        <v>71</v>
      </c>
      <c r="T368" s="5" t="s">
        <v>1294</v>
      </c>
      <c r="U368" s="7">
        <v>23.2</v>
      </c>
    </row>
    <row r="369" spans="1:21" x14ac:dyDescent="0.3">
      <c r="A369" s="8">
        <v>368</v>
      </c>
      <c r="B369" s="9" t="s">
        <v>1288</v>
      </c>
      <c r="C369" s="10">
        <v>43029</v>
      </c>
      <c r="D369" s="6" t="str">
        <f t="shared" si="15"/>
        <v>Oct</v>
      </c>
      <c r="E369" s="12">
        <f t="shared" si="16"/>
        <v>2017</v>
      </c>
      <c r="F369" s="10">
        <v>43029</v>
      </c>
      <c r="G369" s="12">
        <f t="shared" si="17"/>
        <v>0</v>
      </c>
      <c r="H369" s="9" t="s">
        <v>1289</v>
      </c>
      <c r="I369" s="9" t="s">
        <v>1290</v>
      </c>
      <c r="J369" s="9" t="s">
        <v>1291</v>
      </c>
      <c r="K369" s="9" t="s">
        <v>37</v>
      </c>
      <c r="L369" s="9" t="s">
        <v>23</v>
      </c>
      <c r="M369" s="9" t="s">
        <v>1292</v>
      </c>
      <c r="N369" s="9" t="s">
        <v>745</v>
      </c>
      <c r="O369" s="9">
        <v>6040</v>
      </c>
      <c r="P369" s="9" t="s">
        <v>144</v>
      </c>
      <c r="Q369" s="9" t="s">
        <v>1295</v>
      </c>
      <c r="R369" s="9" t="s">
        <v>42</v>
      </c>
      <c r="S369" s="9" t="s">
        <v>575</v>
      </c>
      <c r="T369" s="9" t="s">
        <v>1296</v>
      </c>
      <c r="U369" s="11">
        <v>7.36</v>
      </c>
    </row>
    <row r="370" spans="1:21" x14ac:dyDescent="0.3">
      <c r="A370" s="4">
        <v>369</v>
      </c>
      <c r="B370" s="5" t="s">
        <v>1288</v>
      </c>
      <c r="C370" s="6">
        <v>43029</v>
      </c>
      <c r="D370" s="6" t="str">
        <f t="shared" si="15"/>
        <v>Oct</v>
      </c>
      <c r="E370" s="12">
        <f t="shared" si="16"/>
        <v>2017</v>
      </c>
      <c r="F370" s="6">
        <v>43029</v>
      </c>
      <c r="G370" s="12">
        <f t="shared" si="17"/>
        <v>0</v>
      </c>
      <c r="H370" s="5" t="s">
        <v>1289</v>
      </c>
      <c r="I370" s="5" t="s">
        <v>1290</v>
      </c>
      <c r="J370" s="5" t="s">
        <v>1291</v>
      </c>
      <c r="K370" s="5" t="s">
        <v>37</v>
      </c>
      <c r="L370" s="5" t="s">
        <v>23</v>
      </c>
      <c r="M370" s="5" t="s">
        <v>1292</v>
      </c>
      <c r="N370" s="5" t="s">
        <v>745</v>
      </c>
      <c r="O370" s="5">
        <v>6040</v>
      </c>
      <c r="P370" s="5" t="s">
        <v>144</v>
      </c>
      <c r="Q370" s="5" t="s">
        <v>1297</v>
      </c>
      <c r="R370" s="5" t="s">
        <v>42</v>
      </c>
      <c r="S370" s="5" t="s">
        <v>55</v>
      </c>
      <c r="T370" s="5" t="s">
        <v>1298</v>
      </c>
      <c r="U370" s="7">
        <v>104.79</v>
      </c>
    </row>
    <row r="371" spans="1:21" x14ac:dyDescent="0.3">
      <c r="A371" s="8">
        <v>370</v>
      </c>
      <c r="B371" s="9" t="s">
        <v>1288</v>
      </c>
      <c r="C371" s="10">
        <v>43029</v>
      </c>
      <c r="D371" s="6" t="str">
        <f t="shared" si="15"/>
        <v>Oct</v>
      </c>
      <c r="E371" s="12">
        <f t="shared" si="16"/>
        <v>2017</v>
      </c>
      <c r="F371" s="10">
        <v>43029</v>
      </c>
      <c r="G371" s="12">
        <f t="shared" si="17"/>
        <v>0</v>
      </c>
      <c r="H371" s="9" t="s">
        <v>1289</v>
      </c>
      <c r="I371" s="9" t="s">
        <v>1290</v>
      </c>
      <c r="J371" s="9" t="s">
        <v>1291</v>
      </c>
      <c r="K371" s="9" t="s">
        <v>37</v>
      </c>
      <c r="L371" s="9" t="s">
        <v>23</v>
      </c>
      <c r="M371" s="9" t="s">
        <v>1292</v>
      </c>
      <c r="N371" s="9" t="s">
        <v>745</v>
      </c>
      <c r="O371" s="9">
        <v>6040</v>
      </c>
      <c r="P371" s="9" t="s">
        <v>144</v>
      </c>
      <c r="Q371" s="9" t="s">
        <v>197</v>
      </c>
      <c r="R371" s="9" t="s">
        <v>28</v>
      </c>
      <c r="S371" s="9" t="s">
        <v>29</v>
      </c>
      <c r="T371" s="9" t="s">
        <v>198</v>
      </c>
      <c r="U371" s="11">
        <v>1043.92</v>
      </c>
    </row>
    <row r="372" spans="1:21" x14ac:dyDescent="0.3">
      <c r="A372" s="4">
        <v>371</v>
      </c>
      <c r="B372" s="5" t="s">
        <v>1299</v>
      </c>
      <c r="C372" s="6">
        <v>43249</v>
      </c>
      <c r="D372" s="6" t="str">
        <f t="shared" si="15"/>
        <v>May</v>
      </c>
      <c r="E372" s="12">
        <f t="shared" si="16"/>
        <v>2018</v>
      </c>
      <c r="F372" s="6">
        <v>43255</v>
      </c>
      <c r="G372" s="12">
        <f t="shared" si="17"/>
        <v>6</v>
      </c>
      <c r="H372" s="5" t="s">
        <v>46</v>
      </c>
      <c r="I372" s="5" t="s">
        <v>1300</v>
      </c>
      <c r="J372" s="5" t="s">
        <v>1301</v>
      </c>
      <c r="K372" s="5" t="s">
        <v>22</v>
      </c>
      <c r="L372" s="5" t="s">
        <v>23</v>
      </c>
      <c r="M372" s="5" t="s">
        <v>1302</v>
      </c>
      <c r="N372" s="5" t="s">
        <v>100</v>
      </c>
      <c r="O372" s="5">
        <v>78550</v>
      </c>
      <c r="P372" s="5" t="s">
        <v>101</v>
      </c>
      <c r="Q372" s="5" t="s">
        <v>1303</v>
      </c>
      <c r="R372" s="5" t="s">
        <v>42</v>
      </c>
      <c r="S372" s="5" t="s">
        <v>86</v>
      </c>
      <c r="T372" s="5" t="s">
        <v>1304</v>
      </c>
      <c r="U372" s="7">
        <v>25.92</v>
      </c>
    </row>
    <row r="373" spans="1:21" x14ac:dyDescent="0.3">
      <c r="A373" s="8">
        <v>372</v>
      </c>
      <c r="B373" s="9" t="s">
        <v>1299</v>
      </c>
      <c r="C373" s="10">
        <v>43249</v>
      </c>
      <c r="D373" s="6" t="str">
        <f t="shared" si="15"/>
        <v>May</v>
      </c>
      <c r="E373" s="12">
        <f t="shared" si="16"/>
        <v>2018</v>
      </c>
      <c r="F373" s="10">
        <v>43255</v>
      </c>
      <c r="G373" s="12">
        <f t="shared" si="17"/>
        <v>6</v>
      </c>
      <c r="H373" s="9" t="s">
        <v>46</v>
      </c>
      <c r="I373" s="9" t="s">
        <v>1300</v>
      </c>
      <c r="J373" s="9" t="s">
        <v>1301</v>
      </c>
      <c r="K373" s="9" t="s">
        <v>22</v>
      </c>
      <c r="L373" s="9" t="s">
        <v>23</v>
      </c>
      <c r="M373" s="9" t="s">
        <v>1302</v>
      </c>
      <c r="N373" s="9" t="s">
        <v>100</v>
      </c>
      <c r="O373" s="9">
        <v>78550</v>
      </c>
      <c r="P373" s="9" t="s">
        <v>101</v>
      </c>
      <c r="Q373" s="9" t="s">
        <v>1305</v>
      </c>
      <c r="R373" s="9" t="s">
        <v>42</v>
      </c>
      <c r="S373" s="9" t="s">
        <v>55</v>
      </c>
      <c r="T373" s="9" t="s">
        <v>1306</v>
      </c>
      <c r="U373" s="11">
        <v>53.423999999999999</v>
      </c>
    </row>
    <row r="374" spans="1:21" x14ac:dyDescent="0.3">
      <c r="A374" s="4">
        <v>373</v>
      </c>
      <c r="B374" s="5" t="s">
        <v>1307</v>
      </c>
      <c r="C374" s="6">
        <v>42208</v>
      </c>
      <c r="D374" s="6" t="str">
        <f t="shared" si="15"/>
        <v>Jul</v>
      </c>
      <c r="E374" s="12">
        <f t="shared" si="16"/>
        <v>2015</v>
      </c>
      <c r="F374" s="6">
        <v>42212</v>
      </c>
      <c r="G374" s="12">
        <f t="shared" si="17"/>
        <v>4</v>
      </c>
      <c r="H374" s="5" t="s">
        <v>46</v>
      </c>
      <c r="I374" s="5" t="s">
        <v>1308</v>
      </c>
      <c r="J374" s="5" t="s">
        <v>1309</v>
      </c>
      <c r="K374" s="5" t="s">
        <v>22</v>
      </c>
      <c r="L374" s="5" t="s">
        <v>23</v>
      </c>
      <c r="M374" s="5" t="s">
        <v>1310</v>
      </c>
      <c r="N374" s="5" t="s">
        <v>306</v>
      </c>
      <c r="O374" s="5">
        <v>85705</v>
      </c>
      <c r="P374" s="5" t="s">
        <v>40</v>
      </c>
      <c r="Q374" s="5" t="s">
        <v>1207</v>
      </c>
      <c r="R374" s="5" t="s">
        <v>42</v>
      </c>
      <c r="S374" s="5" t="s">
        <v>71</v>
      </c>
      <c r="T374" s="5" t="s">
        <v>1208</v>
      </c>
      <c r="U374" s="7">
        <v>8.16</v>
      </c>
    </row>
    <row r="375" spans="1:21" x14ac:dyDescent="0.3">
      <c r="A375" s="8">
        <v>374</v>
      </c>
      <c r="B375" s="9" t="s">
        <v>1307</v>
      </c>
      <c r="C375" s="10">
        <v>42208</v>
      </c>
      <c r="D375" s="6" t="str">
        <f t="shared" si="15"/>
        <v>Jul</v>
      </c>
      <c r="E375" s="12">
        <f t="shared" si="16"/>
        <v>2015</v>
      </c>
      <c r="F375" s="10">
        <v>42212</v>
      </c>
      <c r="G375" s="12">
        <f t="shared" si="17"/>
        <v>4</v>
      </c>
      <c r="H375" s="9" t="s">
        <v>46</v>
      </c>
      <c r="I375" s="9" t="s">
        <v>1308</v>
      </c>
      <c r="J375" s="9" t="s">
        <v>1309</v>
      </c>
      <c r="K375" s="9" t="s">
        <v>22</v>
      </c>
      <c r="L375" s="9" t="s">
        <v>23</v>
      </c>
      <c r="M375" s="9" t="s">
        <v>1310</v>
      </c>
      <c r="N375" s="9" t="s">
        <v>306</v>
      </c>
      <c r="O375" s="9">
        <v>85705</v>
      </c>
      <c r="P375" s="9" t="s">
        <v>40</v>
      </c>
      <c r="Q375" s="9" t="s">
        <v>1311</v>
      </c>
      <c r="R375" s="9" t="s">
        <v>67</v>
      </c>
      <c r="S375" s="9" t="s">
        <v>157</v>
      </c>
      <c r="T375" s="9" t="s">
        <v>1312</v>
      </c>
      <c r="U375" s="11">
        <v>1023.936</v>
      </c>
    </row>
    <row r="376" spans="1:21" x14ac:dyDescent="0.3">
      <c r="A376" s="4">
        <v>375</v>
      </c>
      <c r="B376" s="5" t="s">
        <v>1307</v>
      </c>
      <c r="C376" s="6">
        <v>42208</v>
      </c>
      <c r="D376" s="6" t="str">
        <f t="shared" si="15"/>
        <v>Jul</v>
      </c>
      <c r="E376" s="12">
        <f t="shared" si="16"/>
        <v>2015</v>
      </c>
      <c r="F376" s="6">
        <v>42212</v>
      </c>
      <c r="G376" s="12">
        <f t="shared" si="17"/>
        <v>4</v>
      </c>
      <c r="H376" s="5" t="s">
        <v>46</v>
      </c>
      <c r="I376" s="5" t="s">
        <v>1308</v>
      </c>
      <c r="J376" s="5" t="s">
        <v>1309</v>
      </c>
      <c r="K376" s="5" t="s">
        <v>22</v>
      </c>
      <c r="L376" s="5" t="s">
        <v>23</v>
      </c>
      <c r="M376" s="5" t="s">
        <v>1310</v>
      </c>
      <c r="N376" s="5" t="s">
        <v>306</v>
      </c>
      <c r="O376" s="5">
        <v>85705</v>
      </c>
      <c r="P376" s="5" t="s">
        <v>40</v>
      </c>
      <c r="Q376" s="5" t="s">
        <v>1313</v>
      </c>
      <c r="R376" s="5" t="s">
        <v>42</v>
      </c>
      <c r="S376" s="5" t="s">
        <v>64</v>
      </c>
      <c r="T376" s="5" t="s">
        <v>1314</v>
      </c>
      <c r="U376" s="7">
        <v>9.24</v>
      </c>
    </row>
    <row r="377" spans="1:21" x14ac:dyDescent="0.3">
      <c r="A377" s="8">
        <v>376</v>
      </c>
      <c r="B377" s="9" t="s">
        <v>1307</v>
      </c>
      <c r="C377" s="10">
        <v>42208</v>
      </c>
      <c r="D377" s="6" t="str">
        <f t="shared" si="15"/>
        <v>Jul</v>
      </c>
      <c r="E377" s="12">
        <f t="shared" si="16"/>
        <v>2015</v>
      </c>
      <c r="F377" s="10">
        <v>42212</v>
      </c>
      <c r="G377" s="12">
        <f t="shared" si="17"/>
        <v>4</v>
      </c>
      <c r="H377" s="9" t="s">
        <v>46</v>
      </c>
      <c r="I377" s="9" t="s">
        <v>1308</v>
      </c>
      <c r="J377" s="9" t="s">
        <v>1309</v>
      </c>
      <c r="K377" s="9" t="s">
        <v>22</v>
      </c>
      <c r="L377" s="9" t="s">
        <v>23</v>
      </c>
      <c r="M377" s="9" t="s">
        <v>1310</v>
      </c>
      <c r="N377" s="9" t="s">
        <v>306</v>
      </c>
      <c r="O377" s="9">
        <v>85705</v>
      </c>
      <c r="P377" s="9" t="s">
        <v>40</v>
      </c>
      <c r="Q377" s="9" t="s">
        <v>1315</v>
      </c>
      <c r="R377" s="9" t="s">
        <v>67</v>
      </c>
      <c r="S377" s="9" t="s">
        <v>157</v>
      </c>
      <c r="T377" s="9" t="s">
        <v>1316</v>
      </c>
      <c r="U377" s="11">
        <v>479.04</v>
      </c>
    </row>
    <row r="378" spans="1:21" x14ac:dyDescent="0.3">
      <c r="A378" s="4">
        <v>377</v>
      </c>
      <c r="B378" s="5" t="s">
        <v>1317</v>
      </c>
      <c r="C378" s="6">
        <v>43006</v>
      </c>
      <c r="D378" s="6" t="str">
        <f t="shared" si="15"/>
        <v>Sep</v>
      </c>
      <c r="E378" s="12">
        <f t="shared" si="16"/>
        <v>2017</v>
      </c>
      <c r="F378" s="6">
        <v>43009</v>
      </c>
      <c r="G378" s="12">
        <f t="shared" si="17"/>
        <v>3</v>
      </c>
      <c r="H378" s="5" t="s">
        <v>184</v>
      </c>
      <c r="I378" s="5" t="s">
        <v>1318</v>
      </c>
      <c r="J378" s="5" t="s">
        <v>1319</v>
      </c>
      <c r="K378" s="5" t="s">
        <v>37</v>
      </c>
      <c r="L378" s="5" t="s">
        <v>23</v>
      </c>
      <c r="M378" s="5" t="s">
        <v>1320</v>
      </c>
      <c r="N378" s="5" t="s">
        <v>207</v>
      </c>
      <c r="O378" s="5">
        <v>62301</v>
      </c>
      <c r="P378" s="5" t="s">
        <v>101</v>
      </c>
      <c r="Q378" s="5" t="s">
        <v>1321</v>
      </c>
      <c r="R378" s="5" t="s">
        <v>42</v>
      </c>
      <c r="S378" s="5" t="s">
        <v>86</v>
      </c>
      <c r="T378" s="5" t="s">
        <v>1322</v>
      </c>
      <c r="U378" s="7">
        <v>99.135999999999996</v>
      </c>
    </row>
    <row r="379" spans="1:21" x14ac:dyDescent="0.3">
      <c r="A379" s="8">
        <v>378</v>
      </c>
      <c r="B379" s="9" t="s">
        <v>1323</v>
      </c>
      <c r="C379" s="10">
        <v>43339</v>
      </c>
      <c r="D379" s="6" t="str">
        <f t="shared" si="15"/>
        <v>Aug</v>
      </c>
      <c r="E379" s="12">
        <f t="shared" si="16"/>
        <v>2018</v>
      </c>
      <c r="F379" s="10">
        <v>43344</v>
      </c>
      <c r="G379" s="12">
        <f t="shared" si="17"/>
        <v>5</v>
      </c>
      <c r="H379" s="9" t="s">
        <v>46</v>
      </c>
      <c r="I379" s="9" t="s">
        <v>1324</v>
      </c>
      <c r="J379" s="9" t="s">
        <v>1325</v>
      </c>
      <c r="K379" s="9" t="s">
        <v>37</v>
      </c>
      <c r="L379" s="9" t="s">
        <v>23</v>
      </c>
      <c r="M379" s="9" t="s">
        <v>609</v>
      </c>
      <c r="N379" s="9" t="s">
        <v>1244</v>
      </c>
      <c r="O379" s="9">
        <v>2038</v>
      </c>
      <c r="P379" s="9" t="s">
        <v>144</v>
      </c>
      <c r="Q379" s="9" t="s">
        <v>1326</v>
      </c>
      <c r="R379" s="9" t="s">
        <v>28</v>
      </c>
      <c r="S379" s="9" t="s">
        <v>52</v>
      </c>
      <c r="T379" s="9" t="s">
        <v>1327</v>
      </c>
      <c r="U379" s="11">
        <v>1488.424</v>
      </c>
    </row>
    <row r="380" spans="1:21" x14ac:dyDescent="0.3">
      <c r="A380" s="4">
        <v>379</v>
      </c>
      <c r="B380" s="5" t="s">
        <v>1328</v>
      </c>
      <c r="C380" s="6">
        <v>42488</v>
      </c>
      <c r="D380" s="6" t="str">
        <f t="shared" si="15"/>
        <v>Apr</v>
      </c>
      <c r="E380" s="12">
        <f t="shared" si="16"/>
        <v>2016</v>
      </c>
      <c r="F380" s="6">
        <v>42495</v>
      </c>
      <c r="G380" s="12">
        <f t="shared" si="17"/>
        <v>7</v>
      </c>
      <c r="H380" s="5" t="s">
        <v>46</v>
      </c>
      <c r="I380" s="5" t="s">
        <v>1329</v>
      </c>
      <c r="J380" s="5" t="s">
        <v>1330</v>
      </c>
      <c r="K380" s="5" t="s">
        <v>22</v>
      </c>
      <c r="L380" s="5" t="s">
        <v>23</v>
      </c>
      <c r="M380" s="5" t="s">
        <v>180</v>
      </c>
      <c r="N380" s="5" t="s">
        <v>100</v>
      </c>
      <c r="O380" s="5">
        <v>77095</v>
      </c>
      <c r="P380" s="5" t="s">
        <v>101</v>
      </c>
      <c r="Q380" s="5" t="s">
        <v>1331</v>
      </c>
      <c r="R380" s="5" t="s">
        <v>42</v>
      </c>
      <c r="S380" s="5" t="s">
        <v>74</v>
      </c>
      <c r="T380" s="5" t="s">
        <v>1332</v>
      </c>
      <c r="U380" s="7">
        <v>8.6519999999999992</v>
      </c>
    </row>
    <row r="381" spans="1:21" x14ac:dyDescent="0.3">
      <c r="A381" s="8">
        <v>380</v>
      </c>
      <c r="B381" s="9" t="s">
        <v>1328</v>
      </c>
      <c r="C381" s="10">
        <v>42488</v>
      </c>
      <c r="D381" s="6" t="str">
        <f t="shared" si="15"/>
        <v>Apr</v>
      </c>
      <c r="E381" s="12">
        <f t="shared" si="16"/>
        <v>2016</v>
      </c>
      <c r="F381" s="10">
        <v>42495</v>
      </c>
      <c r="G381" s="12">
        <f t="shared" si="17"/>
        <v>7</v>
      </c>
      <c r="H381" s="9" t="s">
        <v>46</v>
      </c>
      <c r="I381" s="9" t="s">
        <v>1329</v>
      </c>
      <c r="J381" s="9" t="s">
        <v>1330</v>
      </c>
      <c r="K381" s="9" t="s">
        <v>22</v>
      </c>
      <c r="L381" s="9" t="s">
        <v>23</v>
      </c>
      <c r="M381" s="9" t="s">
        <v>180</v>
      </c>
      <c r="N381" s="9" t="s">
        <v>100</v>
      </c>
      <c r="O381" s="9">
        <v>77095</v>
      </c>
      <c r="P381" s="9" t="s">
        <v>101</v>
      </c>
      <c r="Q381" s="9" t="s">
        <v>1333</v>
      </c>
      <c r="R381" s="9" t="s">
        <v>42</v>
      </c>
      <c r="S381" s="9" t="s">
        <v>55</v>
      </c>
      <c r="T381" s="9" t="s">
        <v>1334</v>
      </c>
      <c r="U381" s="11">
        <v>23.832000000000001</v>
      </c>
    </row>
    <row r="382" spans="1:21" x14ac:dyDescent="0.3">
      <c r="A382" s="4">
        <v>381</v>
      </c>
      <c r="B382" s="5" t="s">
        <v>1328</v>
      </c>
      <c r="C382" s="6">
        <v>42488</v>
      </c>
      <c r="D382" s="6" t="str">
        <f t="shared" si="15"/>
        <v>Apr</v>
      </c>
      <c r="E382" s="12">
        <f t="shared" si="16"/>
        <v>2016</v>
      </c>
      <c r="F382" s="6">
        <v>42495</v>
      </c>
      <c r="G382" s="12">
        <f t="shared" si="17"/>
        <v>7</v>
      </c>
      <c r="H382" s="5" t="s">
        <v>46</v>
      </c>
      <c r="I382" s="5" t="s">
        <v>1329</v>
      </c>
      <c r="J382" s="5" t="s">
        <v>1330</v>
      </c>
      <c r="K382" s="5" t="s">
        <v>22</v>
      </c>
      <c r="L382" s="5" t="s">
        <v>23</v>
      </c>
      <c r="M382" s="5" t="s">
        <v>180</v>
      </c>
      <c r="N382" s="5" t="s">
        <v>100</v>
      </c>
      <c r="O382" s="5">
        <v>77095</v>
      </c>
      <c r="P382" s="5" t="s">
        <v>101</v>
      </c>
      <c r="Q382" s="5" t="s">
        <v>1335</v>
      </c>
      <c r="R382" s="5" t="s">
        <v>42</v>
      </c>
      <c r="S382" s="5" t="s">
        <v>71</v>
      </c>
      <c r="T382" s="5" t="s">
        <v>1336</v>
      </c>
      <c r="U382" s="7">
        <v>12.176</v>
      </c>
    </row>
    <row r="383" spans="1:21" x14ac:dyDescent="0.3">
      <c r="A383" s="8">
        <v>382</v>
      </c>
      <c r="B383" s="9" t="s">
        <v>1337</v>
      </c>
      <c r="C383" s="10">
        <v>43036</v>
      </c>
      <c r="D383" s="6" t="str">
        <f t="shared" si="15"/>
        <v>Oct</v>
      </c>
      <c r="E383" s="12">
        <f t="shared" si="16"/>
        <v>2017</v>
      </c>
      <c r="F383" s="10">
        <v>43037</v>
      </c>
      <c r="G383" s="12">
        <f t="shared" si="17"/>
        <v>1</v>
      </c>
      <c r="H383" s="9" t="s">
        <v>184</v>
      </c>
      <c r="I383" s="9" t="s">
        <v>1338</v>
      </c>
      <c r="J383" s="9" t="s">
        <v>1339</v>
      </c>
      <c r="K383" s="9" t="s">
        <v>37</v>
      </c>
      <c r="L383" s="9" t="s">
        <v>23</v>
      </c>
      <c r="M383" s="9" t="s">
        <v>123</v>
      </c>
      <c r="N383" s="9" t="s">
        <v>39</v>
      </c>
      <c r="O383" s="9">
        <v>94109</v>
      </c>
      <c r="P383" s="9" t="s">
        <v>40</v>
      </c>
      <c r="Q383" s="9" t="s">
        <v>1340</v>
      </c>
      <c r="R383" s="9" t="s">
        <v>42</v>
      </c>
      <c r="S383" s="9" t="s">
        <v>86</v>
      </c>
      <c r="T383" s="9" t="s">
        <v>1341</v>
      </c>
      <c r="U383" s="11">
        <v>50.96</v>
      </c>
    </row>
    <row r="384" spans="1:21" x14ac:dyDescent="0.3">
      <c r="A384" s="4">
        <v>383</v>
      </c>
      <c r="B384" s="5" t="s">
        <v>1337</v>
      </c>
      <c r="C384" s="6">
        <v>43036</v>
      </c>
      <c r="D384" s="6" t="str">
        <f t="shared" si="15"/>
        <v>Oct</v>
      </c>
      <c r="E384" s="12">
        <f t="shared" si="16"/>
        <v>2017</v>
      </c>
      <c r="F384" s="6">
        <v>43037</v>
      </c>
      <c r="G384" s="12">
        <f t="shared" si="17"/>
        <v>1</v>
      </c>
      <c r="H384" s="5" t="s">
        <v>184</v>
      </c>
      <c r="I384" s="5" t="s">
        <v>1338</v>
      </c>
      <c r="J384" s="5" t="s">
        <v>1339</v>
      </c>
      <c r="K384" s="5" t="s">
        <v>37</v>
      </c>
      <c r="L384" s="5" t="s">
        <v>23</v>
      </c>
      <c r="M384" s="5" t="s">
        <v>123</v>
      </c>
      <c r="N384" s="5" t="s">
        <v>39</v>
      </c>
      <c r="O384" s="5">
        <v>94109</v>
      </c>
      <c r="P384" s="5" t="s">
        <v>40</v>
      </c>
      <c r="Q384" s="5" t="s">
        <v>1342</v>
      </c>
      <c r="R384" s="5" t="s">
        <v>42</v>
      </c>
      <c r="S384" s="5" t="s">
        <v>71</v>
      </c>
      <c r="T384" s="5" t="s">
        <v>1343</v>
      </c>
      <c r="U384" s="7">
        <v>49.536000000000001</v>
      </c>
    </row>
    <row r="385" spans="1:21" x14ac:dyDescent="0.3">
      <c r="A385" s="8">
        <v>384</v>
      </c>
      <c r="B385" s="9" t="s">
        <v>1344</v>
      </c>
      <c r="C385" s="10">
        <v>42547</v>
      </c>
      <c r="D385" s="6" t="str">
        <f t="shared" si="15"/>
        <v>Jun</v>
      </c>
      <c r="E385" s="12">
        <f t="shared" si="16"/>
        <v>2016</v>
      </c>
      <c r="F385" s="10">
        <v>42550</v>
      </c>
      <c r="G385" s="12">
        <f t="shared" si="17"/>
        <v>3</v>
      </c>
      <c r="H385" s="9" t="s">
        <v>19</v>
      </c>
      <c r="I385" s="9" t="s">
        <v>1345</v>
      </c>
      <c r="J385" s="9" t="s">
        <v>1346</v>
      </c>
      <c r="K385" s="9" t="s">
        <v>37</v>
      </c>
      <c r="L385" s="9" t="s">
        <v>23</v>
      </c>
      <c r="M385" s="9" t="s">
        <v>1112</v>
      </c>
      <c r="N385" s="9" t="s">
        <v>234</v>
      </c>
      <c r="O385" s="9">
        <v>48180</v>
      </c>
      <c r="P385" s="9" t="s">
        <v>101</v>
      </c>
      <c r="Q385" s="9" t="s">
        <v>1347</v>
      </c>
      <c r="R385" s="9" t="s">
        <v>67</v>
      </c>
      <c r="S385" s="9" t="s">
        <v>157</v>
      </c>
      <c r="T385" s="9" t="s">
        <v>1348</v>
      </c>
      <c r="U385" s="11">
        <v>41.9</v>
      </c>
    </row>
    <row r="386" spans="1:21" x14ac:dyDescent="0.3">
      <c r="A386" s="4">
        <v>385</v>
      </c>
      <c r="B386" s="5" t="s">
        <v>1349</v>
      </c>
      <c r="C386" s="6">
        <v>42701</v>
      </c>
      <c r="D386" s="6" t="str">
        <f t="shared" si="15"/>
        <v>Nov</v>
      </c>
      <c r="E386" s="12">
        <f t="shared" si="16"/>
        <v>2016</v>
      </c>
      <c r="F386" s="6">
        <v>42706</v>
      </c>
      <c r="G386" s="12">
        <f t="shared" si="17"/>
        <v>5</v>
      </c>
      <c r="H386" s="5" t="s">
        <v>46</v>
      </c>
      <c r="I386" s="5" t="s">
        <v>1350</v>
      </c>
      <c r="J386" s="5" t="s">
        <v>1351</v>
      </c>
      <c r="K386" s="5" t="s">
        <v>22</v>
      </c>
      <c r="L386" s="5" t="s">
        <v>23</v>
      </c>
      <c r="M386" s="5" t="s">
        <v>1352</v>
      </c>
      <c r="N386" s="5" t="s">
        <v>50</v>
      </c>
      <c r="O386" s="5">
        <v>33024</v>
      </c>
      <c r="P386" s="5" t="s">
        <v>26</v>
      </c>
      <c r="Q386" s="5" t="s">
        <v>1353</v>
      </c>
      <c r="R386" s="5" t="s">
        <v>28</v>
      </c>
      <c r="S386" s="5" t="s">
        <v>52</v>
      </c>
      <c r="T386" s="5" t="s">
        <v>1354</v>
      </c>
      <c r="U386" s="7">
        <v>375.45749999999998</v>
      </c>
    </row>
    <row r="387" spans="1:21" x14ac:dyDescent="0.3">
      <c r="A387" s="8">
        <v>386</v>
      </c>
      <c r="B387" s="9" t="s">
        <v>1349</v>
      </c>
      <c r="C387" s="10">
        <v>42701</v>
      </c>
      <c r="D387" s="6" t="str">
        <f t="shared" ref="D387:D450" si="18">TEXT(C387,"MMM")</f>
        <v>Nov</v>
      </c>
      <c r="E387" s="12">
        <f t="shared" ref="E387:E450" si="19">YEAR(C387)</f>
        <v>2016</v>
      </c>
      <c r="F387" s="10">
        <v>42706</v>
      </c>
      <c r="G387" s="12">
        <f t="shared" ref="G387:G450" si="20">DATEDIF(C387,F387,"D")</f>
        <v>5</v>
      </c>
      <c r="H387" s="9" t="s">
        <v>46</v>
      </c>
      <c r="I387" s="9" t="s">
        <v>1350</v>
      </c>
      <c r="J387" s="9" t="s">
        <v>1351</v>
      </c>
      <c r="K387" s="9" t="s">
        <v>22</v>
      </c>
      <c r="L387" s="9" t="s">
        <v>23</v>
      </c>
      <c r="M387" s="9" t="s">
        <v>1352</v>
      </c>
      <c r="N387" s="9" t="s">
        <v>50</v>
      </c>
      <c r="O387" s="9">
        <v>33024</v>
      </c>
      <c r="P387" s="9" t="s">
        <v>26</v>
      </c>
      <c r="Q387" s="9" t="s">
        <v>1355</v>
      </c>
      <c r="R387" s="9" t="s">
        <v>67</v>
      </c>
      <c r="S387" s="9" t="s">
        <v>157</v>
      </c>
      <c r="T387" s="9" t="s">
        <v>1356</v>
      </c>
      <c r="U387" s="11">
        <v>83.975999999999999</v>
      </c>
    </row>
    <row r="388" spans="1:21" x14ac:dyDescent="0.3">
      <c r="A388" s="4">
        <v>387</v>
      </c>
      <c r="B388" s="5" t="s">
        <v>1357</v>
      </c>
      <c r="C388" s="6">
        <v>42707</v>
      </c>
      <c r="D388" s="6" t="str">
        <f t="shared" si="18"/>
        <v>Dec</v>
      </c>
      <c r="E388" s="12">
        <f t="shared" si="19"/>
        <v>2016</v>
      </c>
      <c r="F388" s="6">
        <v>42711</v>
      </c>
      <c r="G388" s="12">
        <f t="shared" si="20"/>
        <v>4</v>
      </c>
      <c r="H388" s="5" t="s">
        <v>46</v>
      </c>
      <c r="I388" s="5" t="s">
        <v>1358</v>
      </c>
      <c r="J388" s="5" t="s">
        <v>1359</v>
      </c>
      <c r="K388" s="5" t="s">
        <v>37</v>
      </c>
      <c r="L388" s="5" t="s">
        <v>23</v>
      </c>
      <c r="M388" s="5" t="s">
        <v>142</v>
      </c>
      <c r="N388" s="5" t="s">
        <v>143</v>
      </c>
      <c r="O388" s="5">
        <v>19140</v>
      </c>
      <c r="P388" s="5" t="s">
        <v>144</v>
      </c>
      <c r="Q388" s="5" t="s">
        <v>1360</v>
      </c>
      <c r="R388" s="5" t="s">
        <v>67</v>
      </c>
      <c r="S388" s="5" t="s">
        <v>680</v>
      </c>
      <c r="T388" s="5" t="s">
        <v>1361</v>
      </c>
      <c r="U388" s="7">
        <v>482.34</v>
      </c>
    </row>
    <row r="389" spans="1:21" x14ac:dyDescent="0.3">
      <c r="A389" s="8">
        <v>388</v>
      </c>
      <c r="B389" s="9" t="s">
        <v>1357</v>
      </c>
      <c r="C389" s="10">
        <v>42707</v>
      </c>
      <c r="D389" s="6" t="str">
        <f t="shared" si="18"/>
        <v>Dec</v>
      </c>
      <c r="E389" s="12">
        <f t="shared" si="19"/>
        <v>2016</v>
      </c>
      <c r="F389" s="10">
        <v>42711</v>
      </c>
      <c r="G389" s="12">
        <f t="shared" si="20"/>
        <v>4</v>
      </c>
      <c r="H389" s="9" t="s">
        <v>46</v>
      </c>
      <c r="I389" s="9" t="s">
        <v>1358</v>
      </c>
      <c r="J389" s="9" t="s">
        <v>1359</v>
      </c>
      <c r="K389" s="9" t="s">
        <v>37</v>
      </c>
      <c r="L389" s="9" t="s">
        <v>23</v>
      </c>
      <c r="M389" s="9" t="s">
        <v>142</v>
      </c>
      <c r="N389" s="9" t="s">
        <v>143</v>
      </c>
      <c r="O389" s="9">
        <v>19140</v>
      </c>
      <c r="P389" s="9" t="s">
        <v>144</v>
      </c>
      <c r="Q389" s="9" t="s">
        <v>1362</v>
      </c>
      <c r="R389" s="9" t="s">
        <v>28</v>
      </c>
      <c r="S389" s="9" t="s">
        <v>61</v>
      </c>
      <c r="T389" s="9" t="s">
        <v>1363</v>
      </c>
      <c r="U389" s="11">
        <v>2.96</v>
      </c>
    </row>
    <row r="390" spans="1:21" x14ac:dyDescent="0.3">
      <c r="A390" s="4">
        <v>389</v>
      </c>
      <c r="B390" s="5" t="s">
        <v>1364</v>
      </c>
      <c r="C390" s="6">
        <v>42332</v>
      </c>
      <c r="D390" s="6" t="str">
        <f t="shared" si="18"/>
        <v>Nov</v>
      </c>
      <c r="E390" s="12">
        <f t="shared" si="19"/>
        <v>2015</v>
      </c>
      <c r="F390" s="6">
        <v>42334</v>
      </c>
      <c r="G390" s="12">
        <f t="shared" si="20"/>
        <v>2</v>
      </c>
      <c r="H390" s="5" t="s">
        <v>184</v>
      </c>
      <c r="I390" s="5" t="s">
        <v>1365</v>
      </c>
      <c r="J390" s="5" t="s">
        <v>1366</v>
      </c>
      <c r="K390" s="5" t="s">
        <v>22</v>
      </c>
      <c r="L390" s="5" t="s">
        <v>23</v>
      </c>
      <c r="M390" s="5" t="s">
        <v>1006</v>
      </c>
      <c r="N390" s="5" t="s">
        <v>494</v>
      </c>
      <c r="O390" s="5">
        <v>45231</v>
      </c>
      <c r="P390" s="5" t="s">
        <v>144</v>
      </c>
      <c r="Q390" s="5" t="s">
        <v>1367</v>
      </c>
      <c r="R390" s="5" t="s">
        <v>42</v>
      </c>
      <c r="S390" s="5" t="s">
        <v>64</v>
      </c>
      <c r="T390" s="5" t="s">
        <v>1368</v>
      </c>
      <c r="U390" s="7">
        <v>2.6240000000000001</v>
      </c>
    </row>
    <row r="391" spans="1:21" x14ac:dyDescent="0.3">
      <c r="A391" s="8">
        <v>390</v>
      </c>
      <c r="B391" s="9" t="s">
        <v>1369</v>
      </c>
      <c r="C391" s="10">
        <v>43445</v>
      </c>
      <c r="D391" s="6" t="str">
        <f t="shared" si="18"/>
        <v>Dec</v>
      </c>
      <c r="E391" s="12">
        <f t="shared" si="19"/>
        <v>2018</v>
      </c>
      <c r="F391" s="10">
        <v>43449</v>
      </c>
      <c r="G391" s="12">
        <f t="shared" si="20"/>
        <v>4</v>
      </c>
      <c r="H391" s="9" t="s">
        <v>46</v>
      </c>
      <c r="I391" s="9" t="s">
        <v>1370</v>
      </c>
      <c r="J391" s="9" t="s">
        <v>1371</v>
      </c>
      <c r="K391" s="9" t="s">
        <v>22</v>
      </c>
      <c r="L391" s="9" t="s">
        <v>23</v>
      </c>
      <c r="M391" s="9" t="s">
        <v>262</v>
      </c>
      <c r="N391" s="9" t="s">
        <v>263</v>
      </c>
      <c r="O391" s="9">
        <v>10009</v>
      </c>
      <c r="P391" s="9" t="s">
        <v>144</v>
      </c>
      <c r="Q391" s="9" t="s">
        <v>1372</v>
      </c>
      <c r="R391" s="9" t="s">
        <v>42</v>
      </c>
      <c r="S391" s="9" t="s">
        <v>71</v>
      </c>
      <c r="T391" s="9" t="s">
        <v>1373</v>
      </c>
      <c r="U391" s="11">
        <v>23.36</v>
      </c>
    </row>
    <row r="392" spans="1:21" x14ac:dyDescent="0.3">
      <c r="A392" s="4">
        <v>391</v>
      </c>
      <c r="B392" s="5" t="s">
        <v>1369</v>
      </c>
      <c r="C392" s="6">
        <v>43445</v>
      </c>
      <c r="D392" s="6" t="str">
        <f t="shared" si="18"/>
        <v>Dec</v>
      </c>
      <c r="E392" s="12">
        <f t="shared" si="19"/>
        <v>2018</v>
      </c>
      <c r="F392" s="6">
        <v>43449</v>
      </c>
      <c r="G392" s="12">
        <f t="shared" si="20"/>
        <v>4</v>
      </c>
      <c r="H392" s="5" t="s">
        <v>46</v>
      </c>
      <c r="I392" s="5" t="s">
        <v>1370</v>
      </c>
      <c r="J392" s="5" t="s">
        <v>1371</v>
      </c>
      <c r="K392" s="5" t="s">
        <v>22</v>
      </c>
      <c r="L392" s="5" t="s">
        <v>23</v>
      </c>
      <c r="M392" s="5" t="s">
        <v>262</v>
      </c>
      <c r="N392" s="5" t="s">
        <v>263</v>
      </c>
      <c r="O392" s="5">
        <v>10009</v>
      </c>
      <c r="P392" s="5" t="s">
        <v>144</v>
      </c>
      <c r="Q392" s="5" t="s">
        <v>386</v>
      </c>
      <c r="R392" s="5" t="s">
        <v>67</v>
      </c>
      <c r="S392" s="5" t="s">
        <v>157</v>
      </c>
      <c r="T392" s="5" t="s">
        <v>387</v>
      </c>
      <c r="U392" s="7">
        <v>39.979999999999997</v>
      </c>
    </row>
    <row r="393" spans="1:21" x14ac:dyDescent="0.3">
      <c r="A393" s="8">
        <v>392</v>
      </c>
      <c r="B393" s="9" t="s">
        <v>1374</v>
      </c>
      <c r="C393" s="10">
        <v>42268</v>
      </c>
      <c r="D393" s="6" t="str">
        <f t="shared" si="18"/>
        <v>Sep</v>
      </c>
      <c r="E393" s="12">
        <f t="shared" si="19"/>
        <v>2015</v>
      </c>
      <c r="F393" s="10">
        <v>42270</v>
      </c>
      <c r="G393" s="12">
        <f t="shared" si="20"/>
        <v>2</v>
      </c>
      <c r="H393" s="9" t="s">
        <v>19</v>
      </c>
      <c r="I393" s="9" t="s">
        <v>1375</v>
      </c>
      <c r="J393" s="9" t="s">
        <v>1376</v>
      </c>
      <c r="K393" s="9" t="s">
        <v>22</v>
      </c>
      <c r="L393" s="9" t="s">
        <v>23</v>
      </c>
      <c r="M393" s="9" t="s">
        <v>1377</v>
      </c>
      <c r="N393" s="9" t="s">
        <v>92</v>
      </c>
      <c r="O393" s="9">
        <v>98198</v>
      </c>
      <c r="P393" s="9" t="s">
        <v>40</v>
      </c>
      <c r="Q393" s="9" t="s">
        <v>1378</v>
      </c>
      <c r="R393" s="9" t="s">
        <v>67</v>
      </c>
      <c r="S393" s="9" t="s">
        <v>68</v>
      </c>
      <c r="T393" s="9" t="s">
        <v>1379</v>
      </c>
      <c r="U393" s="11">
        <v>246.38399999999999</v>
      </c>
    </row>
    <row r="394" spans="1:21" x14ac:dyDescent="0.3">
      <c r="A394" s="4">
        <v>393</v>
      </c>
      <c r="B394" s="5" t="s">
        <v>1374</v>
      </c>
      <c r="C394" s="6">
        <v>42268</v>
      </c>
      <c r="D394" s="6" t="str">
        <f t="shared" si="18"/>
        <v>Sep</v>
      </c>
      <c r="E394" s="12">
        <f t="shared" si="19"/>
        <v>2015</v>
      </c>
      <c r="F394" s="6">
        <v>42270</v>
      </c>
      <c r="G394" s="12">
        <f t="shared" si="20"/>
        <v>2</v>
      </c>
      <c r="H394" s="5" t="s">
        <v>19</v>
      </c>
      <c r="I394" s="5" t="s">
        <v>1375</v>
      </c>
      <c r="J394" s="5" t="s">
        <v>1376</v>
      </c>
      <c r="K394" s="5" t="s">
        <v>22</v>
      </c>
      <c r="L394" s="5" t="s">
        <v>23</v>
      </c>
      <c r="M394" s="5" t="s">
        <v>1377</v>
      </c>
      <c r="N394" s="5" t="s">
        <v>92</v>
      </c>
      <c r="O394" s="5">
        <v>98198</v>
      </c>
      <c r="P394" s="5" t="s">
        <v>40</v>
      </c>
      <c r="Q394" s="5" t="s">
        <v>1380</v>
      </c>
      <c r="R394" s="5" t="s">
        <v>67</v>
      </c>
      <c r="S394" s="5" t="s">
        <v>1215</v>
      </c>
      <c r="T394" s="5" t="s">
        <v>1381</v>
      </c>
      <c r="U394" s="7">
        <v>1799.97</v>
      </c>
    </row>
    <row r="395" spans="1:21" x14ac:dyDescent="0.3">
      <c r="A395" s="8">
        <v>394</v>
      </c>
      <c r="B395" s="9" t="s">
        <v>1382</v>
      </c>
      <c r="C395" s="10">
        <v>42162</v>
      </c>
      <c r="D395" s="6" t="str">
        <f t="shared" si="18"/>
        <v>Jun</v>
      </c>
      <c r="E395" s="12">
        <f t="shared" si="19"/>
        <v>2015</v>
      </c>
      <c r="F395" s="10">
        <v>42165</v>
      </c>
      <c r="G395" s="12">
        <f t="shared" si="20"/>
        <v>3</v>
      </c>
      <c r="H395" s="9" t="s">
        <v>19</v>
      </c>
      <c r="I395" s="9" t="s">
        <v>1383</v>
      </c>
      <c r="J395" s="9" t="s">
        <v>1384</v>
      </c>
      <c r="K395" s="9" t="s">
        <v>37</v>
      </c>
      <c r="L395" s="9" t="s">
        <v>23</v>
      </c>
      <c r="M395" s="9" t="s">
        <v>1385</v>
      </c>
      <c r="N395" s="9" t="s">
        <v>207</v>
      </c>
      <c r="O395" s="9">
        <v>61604</v>
      </c>
      <c r="P395" s="9" t="s">
        <v>101</v>
      </c>
      <c r="Q395" s="9" t="s">
        <v>1386</v>
      </c>
      <c r="R395" s="9" t="s">
        <v>42</v>
      </c>
      <c r="S395" s="9" t="s">
        <v>71</v>
      </c>
      <c r="T395" s="9" t="s">
        <v>1387</v>
      </c>
      <c r="U395" s="11">
        <v>12.462</v>
      </c>
    </row>
    <row r="396" spans="1:21" x14ac:dyDescent="0.3">
      <c r="A396" s="4">
        <v>395</v>
      </c>
      <c r="B396" s="5" t="s">
        <v>1388</v>
      </c>
      <c r="C396" s="6">
        <v>43281</v>
      </c>
      <c r="D396" s="6" t="str">
        <f t="shared" si="18"/>
        <v>Jun</v>
      </c>
      <c r="E396" s="12">
        <f t="shared" si="19"/>
        <v>2018</v>
      </c>
      <c r="F396" s="6">
        <v>43286</v>
      </c>
      <c r="G396" s="12">
        <f t="shared" si="20"/>
        <v>5</v>
      </c>
      <c r="H396" s="5" t="s">
        <v>46</v>
      </c>
      <c r="I396" s="5" t="s">
        <v>1389</v>
      </c>
      <c r="J396" s="5" t="s">
        <v>1390</v>
      </c>
      <c r="K396" s="5" t="s">
        <v>98</v>
      </c>
      <c r="L396" s="5" t="s">
        <v>23</v>
      </c>
      <c r="M396" s="5" t="s">
        <v>1391</v>
      </c>
      <c r="N396" s="5" t="s">
        <v>1392</v>
      </c>
      <c r="O396" s="5">
        <v>89115</v>
      </c>
      <c r="P396" s="5" t="s">
        <v>40</v>
      </c>
      <c r="Q396" s="5" t="s">
        <v>1393</v>
      </c>
      <c r="R396" s="5" t="s">
        <v>42</v>
      </c>
      <c r="S396" s="5" t="s">
        <v>71</v>
      </c>
      <c r="T396" s="5" t="s">
        <v>1394</v>
      </c>
      <c r="U396" s="7">
        <v>75.792000000000002</v>
      </c>
    </row>
    <row r="397" spans="1:21" x14ac:dyDescent="0.3">
      <c r="A397" s="8">
        <v>396</v>
      </c>
      <c r="B397" s="9" t="s">
        <v>1395</v>
      </c>
      <c r="C397" s="10">
        <v>43390</v>
      </c>
      <c r="D397" s="6" t="str">
        <f t="shared" si="18"/>
        <v>Oct</v>
      </c>
      <c r="E397" s="12">
        <f t="shared" si="19"/>
        <v>2018</v>
      </c>
      <c r="F397" s="10">
        <v>43392</v>
      </c>
      <c r="G397" s="12">
        <f t="shared" si="20"/>
        <v>2</v>
      </c>
      <c r="H397" s="9" t="s">
        <v>19</v>
      </c>
      <c r="I397" s="9" t="s">
        <v>1396</v>
      </c>
      <c r="J397" s="9" t="s">
        <v>1397</v>
      </c>
      <c r="K397" s="9" t="s">
        <v>37</v>
      </c>
      <c r="L397" s="9" t="s">
        <v>23</v>
      </c>
      <c r="M397" s="9" t="s">
        <v>1398</v>
      </c>
      <c r="N397" s="9" t="s">
        <v>1399</v>
      </c>
      <c r="O397" s="9">
        <v>2886</v>
      </c>
      <c r="P397" s="9" t="s">
        <v>144</v>
      </c>
      <c r="Q397" s="9" t="s">
        <v>1400</v>
      </c>
      <c r="R397" s="9" t="s">
        <v>42</v>
      </c>
      <c r="S397" s="9" t="s">
        <v>55</v>
      </c>
      <c r="T397" s="9" t="s">
        <v>1401</v>
      </c>
      <c r="U397" s="11">
        <v>49.96</v>
      </c>
    </row>
    <row r="398" spans="1:21" x14ac:dyDescent="0.3">
      <c r="A398" s="4">
        <v>397</v>
      </c>
      <c r="B398" s="5" t="s">
        <v>1395</v>
      </c>
      <c r="C398" s="6">
        <v>43390</v>
      </c>
      <c r="D398" s="6" t="str">
        <f t="shared" si="18"/>
        <v>Oct</v>
      </c>
      <c r="E398" s="12">
        <f t="shared" si="19"/>
        <v>2018</v>
      </c>
      <c r="F398" s="6">
        <v>43392</v>
      </c>
      <c r="G398" s="12">
        <f t="shared" si="20"/>
        <v>2</v>
      </c>
      <c r="H398" s="5" t="s">
        <v>19</v>
      </c>
      <c r="I398" s="5" t="s">
        <v>1396</v>
      </c>
      <c r="J398" s="5" t="s">
        <v>1397</v>
      </c>
      <c r="K398" s="5" t="s">
        <v>37</v>
      </c>
      <c r="L398" s="5" t="s">
        <v>23</v>
      </c>
      <c r="M398" s="5" t="s">
        <v>1398</v>
      </c>
      <c r="N398" s="5" t="s">
        <v>1399</v>
      </c>
      <c r="O398" s="5">
        <v>2886</v>
      </c>
      <c r="P398" s="5" t="s">
        <v>144</v>
      </c>
      <c r="Q398" s="5" t="s">
        <v>1402</v>
      </c>
      <c r="R398" s="5" t="s">
        <v>42</v>
      </c>
      <c r="S398" s="5" t="s">
        <v>86</v>
      </c>
      <c r="T398" s="5" t="s">
        <v>1403</v>
      </c>
      <c r="U398" s="7">
        <v>12.96</v>
      </c>
    </row>
    <row r="399" spans="1:21" x14ac:dyDescent="0.3">
      <c r="A399" s="8">
        <v>398</v>
      </c>
      <c r="B399" s="9" t="s">
        <v>1404</v>
      </c>
      <c r="C399" s="10">
        <v>42674</v>
      </c>
      <c r="D399" s="6" t="str">
        <f t="shared" si="18"/>
        <v>Oct</v>
      </c>
      <c r="E399" s="12">
        <f t="shared" si="19"/>
        <v>2016</v>
      </c>
      <c r="F399" s="10">
        <v>42678</v>
      </c>
      <c r="G399" s="12">
        <f t="shared" si="20"/>
        <v>4</v>
      </c>
      <c r="H399" s="9" t="s">
        <v>46</v>
      </c>
      <c r="I399" s="9" t="s">
        <v>96</v>
      </c>
      <c r="J399" s="9" t="s">
        <v>97</v>
      </c>
      <c r="K399" s="9" t="s">
        <v>98</v>
      </c>
      <c r="L399" s="9" t="s">
        <v>23</v>
      </c>
      <c r="M399" s="9" t="s">
        <v>324</v>
      </c>
      <c r="N399" s="9" t="s">
        <v>234</v>
      </c>
      <c r="O399" s="9">
        <v>49201</v>
      </c>
      <c r="P399" s="9" t="s">
        <v>101</v>
      </c>
      <c r="Q399" s="9" t="s">
        <v>1405</v>
      </c>
      <c r="R399" s="9" t="s">
        <v>42</v>
      </c>
      <c r="S399" s="9" t="s">
        <v>575</v>
      </c>
      <c r="T399" s="9" t="s">
        <v>1406</v>
      </c>
      <c r="U399" s="11">
        <v>70.12</v>
      </c>
    </row>
    <row r="400" spans="1:21" x14ac:dyDescent="0.3">
      <c r="A400" s="4">
        <v>399</v>
      </c>
      <c r="B400" s="5" t="s">
        <v>1407</v>
      </c>
      <c r="C400" s="6">
        <v>42986</v>
      </c>
      <c r="D400" s="6" t="str">
        <f t="shared" si="18"/>
        <v>Sep</v>
      </c>
      <c r="E400" s="12">
        <f t="shared" si="19"/>
        <v>2017</v>
      </c>
      <c r="F400" s="6">
        <v>42988</v>
      </c>
      <c r="G400" s="12">
        <f t="shared" si="20"/>
        <v>2</v>
      </c>
      <c r="H400" s="5" t="s">
        <v>19</v>
      </c>
      <c r="I400" s="5" t="s">
        <v>1408</v>
      </c>
      <c r="J400" s="5" t="s">
        <v>1409</v>
      </c>
      <c r="K400" s="5" t="s">
        <v>22</v>
      </c>
      <c r="L400" s="5" t="s">
        <v>23</v>
      </c>
      <c r="M400" s="5" t="s">
        <v>180</v>
      </c>
      <c r="N400" s="5" t="s">
        <v>100</v>
      </c>
      <c r="O400" s="5">
        <v>77036</v>
      </c>
      <c r="P400" s="5" t="s">
        <v>101</v>
      </c>
      <c r="Q400" s="5" t="s">
        <v>1410</v>
      </c>
      <c r="R400" s="5" t="s">
        <v>42</v>
      </c>
      <c r="S400" s="5" t="s">
        <v>55</v>
      </c>
      <c r="T400" s="5" t="s">
        <v>1411</v>
      </c>
      <c r="U400" s="7">
        <v>35.951999999999998</v>
      </c>
    </row>
    <row r="401" spans="1:21" x14ac:dyDescent="0.3">
      <c r="A401" s="8">
        <v>400</v>
      </c>
      <c r="B401" s="9" t="s">
        <v>1407</v>
      </c>
      <c r="C401" s="10">
        <v>42986</v>
      </c>
      <c r="D401" s="6" t="str">
        <f t="shared" si="18"/>
        <v>Sep</v>
      </c>
      <c r="E401" s="12">
        <f t="shared" si="19"/>
        <v>2017</v>
      </c>
      <c r="F401" s="10">
        <v>42988</v>
      </c>
      <c r="G401" s="12">
        <f t="shared" si="20"/>
        <v>2</v>
      </c>
      <c r="H401" s="9" t="s">
        <v>19</v>
      </c>
      <c r="I401" s="9" t="s">
        <v>1408</v>
      </c>
      <c r="J401" s="9" t="s">
        <v>1409</v>
      </c>
      <c r="K401" s="9" t="s">
        <v>22</v>
      </c>
      <c r="L401" s="9" t="s">
        <v>23</v>
      </c>
      <c r="M401" s="9" t="s">
        <v>180</v>
      </c>
      <c r="N401" s="9" t="s">
        <v>100</v>
      </c>
      <c r="O401" s="9">
        <v>77036</v>
      </c>
      <c r="P401" s="9" t="s">
        <v>101</v>
      </c>
      <c r="Q401" s="9" t="s">
        <v>162</v>
      </c>
      <c r="R401" s="9" t="s">
        <v>28</v>
      </c>
      <c r="S401" s="9" t="s">
        <v>29</v>
      </c>
      <c r="T401" s="9" t="s">
        <v>163</v>
      </c>
      <c r="U401" s="11">
        <v>2396.2656000000002</v>
      </c>
    </row>
    <row r="402" spans="1:21" x14ac:dyDescent="0.3">
      <c r="A402" s="4">
        <v>401</v>
      </c>
      <c r="B402" s="5" t="s">
        <v>1407</v>
      </c>
      <c r="C402" s="6">
        <v>42986</v>
      </c>
      <c r="D402" s="6" t="str">
        <f t="shared" si="18"/>
        <v>Sep</v>
      </c>
      <c r="E402" s="12">
        <f t="shared" si="19"/>
        <v>2017</v>
      </c>
      <c r="F402" s="6">
        <v>42988</v>
      </c>
      <c r="G402" s="12">
        <f t="shared" si="20"/>
        <v>2</v>
      </c>
      <c r="H402" s="5" t="s">
        <v>19</v>
      </c>
      <c r="I402" s="5" t="s">
        <v>1408</v>
      </c>
      <c r="J402" s="5" t="s">
        <v>1409</v>
      </c>
      <c r="K402" s="5" t="s">
        <v>22</v>
      </c>
      <c r="L402" s="5" t="s">
        <v>23</v>
      </c>
      <c r="M402" s="5" t="s">
        <v>180</v>
      </c>
      <c r="N402" s="5" t="s">
        <v>100</v>
      </c>
      <c r="O402" s="5">
        <v>77036</v>
      </c>
      <c r="P402" s="5" t="s">
        <v>101</v>
      </c>
      <c r="Q402" s="5" t="s">
        <v>1412</v>
      </c>
      <c r="R402" s="5" t="s">
        <v>42</v>
      </c>
      <c r="S402" s="5" t="s">
        <v>55</v>
      </c>
      <c r="T402" s="5" t="s">
        <v>1413</v>
      </c>
      <c r="U402" s="7">
        <v>131.136</v>
      </c>
    </row>
    <row r="403" spans="1:21" x14ac:dyDescent="0.3">
      <c r="A403" s="8">
        <v>402</v>
      </c>
      <c r="B403" s="9" t="s">
        <v>1407</v>
      </c>
      <c r="C403" s="10">
        <v>42986</v>
      </c>
      <c r="D403" s="6" t="str">
        <f t="shared" si="18"/>
        <v>Sep</v>
      </c>
      <c r="E403" s="12">
        <f t="shared" si="19"/>
        <v>2017</v>
      </c>
      <c r="F403" s="10">
        <v>42988</v>
      </c>
      <c r="G403" s="12">
        <f t="shared" si="20"/>
        <v>2</v>
      </c>
      <c r="H403" s="9" t="s">
        <v>19</v>
      </c>
      <c r="I403" s="9" t="s">
        <v>1408</v>
      </c>
      <c r="J403" s="9" t="s">
        <v>1409</v>
      </c>
      <c r="K403" s="9" t="s">
        <v>22</v>
      </c>
      <c r="L403" s="9" t="s">
        <v>23</v>
      </c>
      <c r="M403" s="9" t="s">
        <v>180</v>
      </c>
      <c r="N403" s="9" t="s">
        <v>100</v>
      </c>
      <c r="O403" s="9">
        <v>77036</v>
      </c>
      <c r="P403" s="9" t="s">
        <v>101</v>
      </c>
      <c r="Q403" s="9" t="s">
        <v>1414</v>
      </c>
      <c r="R403" s="9" t="s">
        <v>67</v>
      </c>
      <c r="S403" s="9" t="s">
        <v>157</v>
      </c>
      <c r="T403" s="9" t="s">
        <v>1415</v>
      </c>
      <c r="U403" s="11">
        <v>57.584000000000003</v>
      </c>
    </row>
    <row r="404" spans="1:21" x14ac:dyDescent="0.3">
      <c r="A404" s="4">
        <v>403</v>
      </c>
      <c r="B404" s="5" t="s">
        <v>1416</v>
      </c>
      <c r="C404" s="6">
        <v>42362</v>
      </c>
      <c r="D404" s="6" t="str">
        <f t="shared" si="18"/>
        <v>Dec</v>
      </c>
      <c r="E404" s="12">
        <f t="shared" si="19"/>
        <v>2015</v>
      </c>
      <c r="F404" s="6">
        <v>42364</v>
      </c>
      <c r="G404" s="12">
        <f t="shared" si="20"/>
        <v>2</v>
      </c>
      <c r="H404" s="5" t="s">
        <v>184</v>
      </c>
      <c r="I404" s="5" t="s">
        <v>1417</v>
      </c>
      <c r="J404" s="5" t="s">
        <v>1418</v>
      </c>
      <c r="K404" s="5" t="s">
        <v>22</v>
      </c>
      <c r="L404" s="5" t="s">
        <v>23</v>
      </c>
      <c r="M404" s="5" t="s">
        <v>1419</v>
      </c>
      <c r="N404" s="5" t="s">
        <v>50</v>
      </c>
      <c r="O404" s="5">
        <v>33180</v>
      </c>
      <c r="P404" s="5" t="s">
        <v>26</v>
      </c>
      <c r="Q404" s="5" t="s">
        <v>1420</v>
      </c>
      <c r="R404" s="5" t="s">
        <v>42</v>
      </c>
      <c r="S404" s="5" t="s">
        <v>86</v>
      </c>
      <c r="T404" s="5" t="s">
        <v>1421</v>
      </c>
      <c r="U404" s="7">
        <v>9.5679999999999996</v>
      </c>
    </row>
    <row r="405" spans="1:21" x14ac:dyDescent="0.3">
      <c r="A405" s="8">
        <v>404</v>
      </c>
      <c r="B405" s="9" t="s">
        <v>1422</v>
      </c>
      <c r="C405" s="10">
        <v>42110</v>
      </c>
      <c r="D405" s="6" t="str">
        <f t="shared" si="18"/>
        <v>Apr</v>
      </c>
      <c r="E405" s="12">
        <f t="shared" si="19"/>
        <v>2015</v>
      </c>
      <c r="F405" s="10">
        <v>42114</v>
      </c>
      <c r="G405" s="12">
        <f t="shared" si="20"/>
        <v>4</v>
      </c>
      <c r="H405" s="9" t="s">
        <v>46</v>
      </c>
      <c r="I405" s="9" t="s">
        <v>625</v>
      </c>
      <c r="J405" s="9" t="s">
        <v>626</v>
      </c>
      <c r="K405" s="9" t="s">
        <v>37</v>
      </c>
      <c r="L405" s="9" t="s">
        <v>23</v>
      </c>
      <c r="M405" s="9" t="s">
        <v>517</v>
      </c>
      <c r="N405" s="9" t="s">
        <v>84</v>
      </c>
      <c r="O405" s="9">
        <v>28403</v>
      </c>
      <c r="P405" s="9" t="s">
        <v>26</v>
      </c>
      <c r="Q405" s="9" t="s">
        <v>1423</v>
      </c>
      <c r="R405" s="9" t="s">
        <v>42</v>
      </c>
      <c r="S405" s="9" t="s">
        <v>64</v>
      </c>
      <c r="T405" s="9" t="s">
        <v>1424</v>
      </c>
      <c r="U405" s="11">
        <v>39.072000000000003</v>
      </c>
    </row>
    <row r="406" spans="1:21" x14ac:dyDescent="0.3">
      <c r="A406" s="4">
        <v>405</v>
      </c>
      <c r="B406" s="5" t="s">
        <v>1425</v>
      </c>
      <c r="C406" s="6">
        <v>43458</v>
      </c>
      <c r="D406" s="6" t="str">
        <f t="shared" si="18"/>
        <v>Dec</v>
      </c>
      <c r="E406" s="12">
        <f t="shared" si="19"/>
        <v>2018</v>
      </c>
      <c r="F406" s="6">
        <v>43463</v>
      </c>
      <c r="G406" s="12">
        <f t="shared" si="20"/>
        <v>5</v>
      </c>
      <c r="H406" s="5" t="s">
        <v>46</v>
      </c>
      <c r="I406" s="5" t="s">
        <v>1426</v>
      </c>
      <c r="J406" s="5" t="s">
        <v>1427</v>
      </c>
      <c r="K406" s="5" t="s">
        <v>22</v>
      </c>
      <c r="L406" s="5" t="s">
        <v>23</v>
      </c>
      <c r="M406" s="5" t="s">
        <v>262</v>
      </c>
      <c r="N406" s="5" t="s">
        <v>263</v>
      </c>
      <c r="O406" s="5">
        <v>10024</v>
      </c>
      <c r="P406" s="5" t="s">
        <v>144</v>
      </c>
      <c r="Q406" s="5" t="s">
        <v>1428</v>
      </c>
      <c r="R406" s="5" t="s">
        <v>42</v>
      </c>
      <c r="S406" s="5" t="s">
        <v>74</v>
      </c>
      <c r="T406" s="5" t="s">
        <v>1429</v>
      </c>
      <c r="U406" s="7">
        <v>35.909999999999997</v>
      </c>
    </row>
    <row r="407" spans="1:21" x14ac:dyDescent="0.3">
      <c r="A407" s="8">
        <v>406</v>
      </c>
      <c r="B407" s="9" t="s">
        <v>1430</v>
      </c>
      <c r="C407" s="10">
        <v>43442</v>
      </c>
      <c r="D407" s="6" t="str">
        <f t="shared" si="18"/>
        <v>Dec</v>
      </c>
      <c r="E407" s="12">
        <f t="shared" si="19"/>
        <v>2018</v>
      </c>
      <c r="F407" s="10">
        <v>43446</v>
      </c>
      <c r="G407" s="12">
        <f t="shared" si="20"/>
        <v>4</v>
      </c>
      <c r="H407" s="9" t="s">
        <v>46</v>
      </c>
      <c r="I407" s="9" t="s">
        <v>1431</v>
      </c>
      <c r="J407" s="9" t="s">
        <v>1432</v>
      </c>
      <c r="K407" s="9" t="s">
        <v>22</v>
      </c>
      <c r="L407" s="9" t="s">
        <v>23</v>
      </c>
      <c r="M407" s="9" t="s">
        <v>123</v>
      </c>
      <c r="N407" s="9" t="s">
        <v>39</v>
      </c>
      <c r="O407" s="9">
        <v>94110</v>
      </c>
      <c r="P407" s="9" t="s">
        <v>40</v>
      </c>
      <c r="Q407" s="9" t="s">
        <v>1414</v>
      </c>
      <c r="R407" s="9" t="s">
        <v>67</v>
      </c>
      <c r="S407" s="9" t="s">
        <v>157</v>
      </c>
      <c r="T407" s="9" t="s">
        <v>1415</v>
      </c>
      <c r="U407" s="11">
        <v>179.95</v>
      </c>
    </row>
    <row r="408" spans="1:21" x14ac:dyDescent="0.3">
      <c r="A408" s="4">
        <v>407</v>
      </c>
      <c r="B408" s="5" t="s">
        <v>1430</v>
      </c>
      <c r="C408" s="6">
        <v>43442</v>
      </c>
      <c r="D408" s="6" t="str">
        <f t="shared" si="18"/>
        <v>Dec</v>
      </c>
      <c r="E408" s="12">
        <f t="shared" si="19"/>
        <v>2018</v>
      </c>
      <c r="F408" s="6">
        <v>43446</v>
      </c>
      <c r="G408" s="12">
        <f t="shared" si="20"/>
        <v>4</v>
      </c>
      <c r="H408" s="5" t="s">
        <v>46</v>
      </c>
      <c r="I408" s="5" t="s">
        <v>1431</v>
      </c>
      <c r="J408" s="5" t="s">
        <v>1432</v>
      </c>
      <c r="K408" s="5" t="s">
        <v>22</v>
      </c>
      <c r="L408" s="5" t="s">
        <v>23</v>
      </c>
      <c r="M408" s="5" t="s">
        <v>123</v>
      </c>
      <c r="N408" s="5" t="s">
        <v>39</v>
      </c>
      <c r="O408" s="5">
        <v>94110</v>
      </c>
      <c r="P408" s="5" t="s">
        <v>40</v>
      </c>
      <c r="Q408" s="5" t="s">
        <v>1433</v>
      </c>
      <c r="R408" s="5" t="s">
        <v>67</v>
      </c>
      <c r="S408" s="5" t="s">
        <v>1215</v>
      </c>
      <c r="T408" s="5" t="s">
        <v>1434</v>
      </c>
      <c r="U408" s="7">
        <v>1199.9760000000001</v>
      </c>
    </row>
    <row r="409" spans="1:21" x14ac:dyDescent="0.3">
      <c r="A409" s="8">
        <v>408</v>
      </c>
      <c r="B409" s="9" t="s">
        <v>1430</v>
      </c>
      <c r="C409" s="10">
        <v>43442</v>
      </c>
      <c r="D409" s="6" t="str">
        <f t="shared" si="18"/>
        <v>Dec</v>
      </c>
      <c r="E409" s="12">
        <f t="shared" si="19"/>
        <v>2018</v>
      </c>
      <c r="F409" s="10">
        <v>43446</v>
      </c>
      <c r="G409" s="12">
        <f t="shared" si="20"/>
        <v>4</v>
      </c>
      <c r="H409" s="9" t="s">
        <v>46</v>
      </c>
      <c r="I409" s="9" t="s">
        <v>1431</v>
      </c>
      <c r="J409" s="9" t="s">
        <v>1432</v>
      </c>
      <c r="K409" s="9" t="s">
        <v>22</v>
      </c>
      <c r="L409" s="9" t="s">
        <v>23</v>
      </c>
      <c r="M409" s="9" t="s">
        <v>123</v>
      </c>
      <c r="N409" s="9" t="s">
        <v>39</v>
      </c>
      <c r="O409" s="9">
        <v>94110</v>
      </c>
      <c r="P409" s="9" t="s">
        <v>40</v>
      </c>
      <c r="Q409" s="9" t="s">
        <v>1435</v>
      </c>
      <c r="R409" s="9" t="s">
        <v>42</v>
      </c>
      <c r="S409" s="9" t="s">
        <v>86</v>
      </c>
      <c r="T409" s="9" t="s">
        <v>1436</v>
      </c>
      <c r="U409" s="11">
        <v>27.15</v>
      </c>
    </row>
    <row r="410" spans="1:21" x14ac:dyDescent="0.3">
      <c r="A410" s="4">
        <v>409</v>
      </c>
      <c r="B410" s="5" t="s">
        <v>1430</v>
      </c>
      <c r="C410" s="6">
        <v>43442</v>
      </c>
      <c r="D410" s="6" t="str">
        <f t="shared" si="18"/>
        <v>Dec</v>
      </c>
      <c r="E410" s="12">
        <f t="shared" si="19"/>
        <v>2018</v>
      </c>
      <c r="F410" s="6">
        <v>43446</v>
      </c>
      <c r="G410" s="12">
        <f t="shared" si="20"/>
        <v>4</v>
      </c>
      <c r="H410" s="5" t="s">
        <v>46</v>
      </c>
      <c r="I410" s="5" t="s">
        <v>1431</v>
      </c>
      <c r="J410" s="5" t="s">
        <v>1432</v>
      </c>
      <c r="K410" s="5" t="s">
        <v>22</v>
      </c>
      <c r="L410" s="5" t="s">
        <v>23</v>
      </c>
      <c r="M410" s="5" t="s">
        <v>123</v>
      </c>
      <c r="N410" s="5" t="s">
        <v>39</v>
      </c>
      <c r="O410" s="5">
        <v>94110</v>
      </c>
      <c r="P410" s="5" t="s">
        <v>40</v>
      </c>
      <c r="Q410" s="5" t="s">
        <v>1437</v>
      </c>
      <c r="R410" s="5" t="s">
        <v>28</v>
      </c>
      <c r="S410" s="5" t="s">
        <v>52</v>
      </c>
      <c r="T410" s="5" t="s">
        <v>1438</v>
      </c>
      <c r="U410" s="7">
        <v>1004.024</v>
      </c>
    </row>
    <row r="411" spans="1:21" x14ac:dyDescent="0.3">
      <c r="A411" s="8">
        <v>410</v>
      </c>
      <c r="B411" s="9" t="s">
        <v>1430</v>
      </c>
      <c r="C411" s="10">
        <v>43442</v>
      </c>
      <c r="D411" s="6" t="str">
        <f t="shared" si="18"/>
        <v>Dec</v>
      </c>
      <c r="E411" s="12">
        <f t="shared" si="19"/>
        <v>2018</v>
      </c>
      <c r="F411" s="10">
        <v>43446</v>
      </c>
      <c r="G411" s="12">
        <f t="shared" si="20"/>
        <v>4</v>
      </c>
      <c r="H411" s="9" t="s">
        <v>46</v>
      </c>
      <c r="I411" s="9" t="s">
        <v>1431</v>
      </c>
      <c r="J411" s="9" t="s">
        <v>1432</v>
      </c>
      <c r="K411" s="9" t="s">
        <v>22</v>
      </c>
      <c r="L411" s="9" t="s">
        <v>23</v>
      </c>
      <c r="M411" s="9" t="s">
        <v>123</v>
      </c>
      <c r="N411" s="9" t="s">
        <v>39</v>
      </c>
      <c r="O411" s="9">
        <v>94110</v>
      </c>
      <c r="P411" s="9" t="s">
        <v>40</v>
      </c>
      <c r="Q411" s="9" t="s">
        <v>1439</v>
      </c>
      <c r="R411" s="9" t="s">
        <v>42</v>
      </c>
      <c r="S411" s="9" t="s">
        <v>86</v>
      </c>
      <c r="T411" s="9" t="s">
        <v>1440</v>
      </c>
      <c r="U411" s="11">
        <v>9.68</v>
      </c>
    </row>
    <row r="412" spans="1:21" x14ac:dyDescent="0.3">
      <c r="A412" s="4">
        <v>411</v>
      </c>
      <c r="B412" s="5" t="s">
        <v>1430</v>
      </c>
      <c r="C412" s="6">
        <v>43442</v>
      </c>
      <c r="D412" s="6" t="str">
        <f t="shared" si="18"/>
        <v>Dec</v>
      </c>
      <c r="E412" s="12">
        <f t="shared" si="19"/>
        <v>2018</v>
      </c>
      <c r="F412" s="6">
        <v>43446</v>
      </c>
      <c r="G412" s="12">
        <f t="shared" si="20"/>
        <v>4</v>
      </c>
      <c r="H412" s="5" t="s">
        <v>46</v>
      </c>
      <c r="I412" s="5" t="s">
        <v>1431</v>
      </c>
      <c r="J412" s="5" t="s">
        <v>1432</v>
      </c>
      <c r="K412" s="5" t="s">
        <v>22</v>
      </c>
      <c r="L412" s="5" t="s">
        <v>23</v>
      </c>
      <c r="M412" s="5" t="s">
        <v>123</v>
      </c>
      <c r="N412" s="5" t="s">
        <v>39</v>
      </c>
      <c r="O412" s="5">
        <v>94110</v>
      </c>
      <c r="P412" s="5" t="s">
        <v>40</v>
      </c>
      <c r="Q412" s="5" t="s">
        <v>1441</v>
      </c>
      <c r="R412" s="5" t="s">
        <v>42</v>
      </c>
      <c r="S412" s="5" t="s">
        <v>43</v>
      </c>
      <c r="T412" s="5" t="s">
        <v>1442</v>
      </c>
      <c r="U412" s="7">
        <v>28.35</v>
      </c>
    </row>
    <row r="413" spans="1:21" x14ac:dyDescent="0.3">
      <c r="A413" s="8">
        <v>412</v>
      </c>
      <c r="B413" s="9" t="s">
        <v>1430</v>
      </c>
      <c r="C413" s="10">
        <v>43442</v>
      </c>
      <c r="D413" s="6" t="str">
        <f t="shared" si="18"/>
        <v>Dec</v>
      </c>
      <c r="E413" s="12">
        <f t="shared" si="19"/>
        <v>2018</v>
      </c>
      <c r="F413" s="10">
        <v>43446</v>
      </c>
      <c r="G413" s="12">
        <f t="shared" si="20"/>
        <v>4</v>
      </c>
      <c r="H413" s="9" t="s">
        <v>46</v>
      </c>
      <c r="I413" s="9" t="s">
        <v>1431</v>
      </c>
      <c r="J413" s="9" t="s">
        <v>1432</v>
      </c>
      <c r="K413" s="9" t="s">
        <v>22</v>
      </c>
      <c r="L413" s="9" t="s">
        <v>23</v>
      </c>
      <c r="M413" s="9" t="s">
        <v>123</v>
      </c>
      <c r="N413" s="9" t="s">
        <v>39</v>
      </c>
      <c r="O413" s="9">
        <v>94110</v>
      </c>
      <c r="P413" s="9" t="s">
        <v>40</v>
      </c>
      <c r="Q413" s="9" t="s">
        <v>1250</v>
      </c>
      <c r="R413" s="9" t="s">
        <v>42</v>
      </c>
      <c r="S413" s="9" t="s">
        <v>86</v>
      </c>
      <c r="T413" s="9" t="s">
        <v>1443</v>
      </c>
      <c r="U413" s="11">
        <v>55.98</v>
      </c>
    </row>
    <row r="414" spans="1:21" x14ac:dyDescent="0.3">
      <c r="A414" s="4">
        <v>413</v>
      </c>
      <c r="B414" s="5" t="s">
        <v>1430</v>
      </c>
      <c r="C414" s="6">
        <v>43442</v>
      </c>
      <c r="D414" s="6" t="str">
        <f t="shared" si="18"/>
        <v>Dec</v>
      </c>
      <c r="E414" s="12">
        <f t="shared" si="19"/>
        <v>2018</v>
      </c>
      <c r="F414" s="6">
        <v>43446</v>
      </c>
      <c r="G414" s="12">
        <f t="shared" si="20"/>
        <v>4</v>
      </c>
      <c r="H414" s="5" t="s">
        <v>46</v>
      </c>
      <c r="I414" s="5" t="s">
        <v>1431</v>
      </c>
      <c r="J414" s="5" t="s">
        <v>1432</v>
      </c>
      <c r="K414" s="5" t="s">
        <v>22</v>
      </c>
      <c r="L414" s="5" t="s">
        <v>23</v>
      </c>
      <c r="M414" s="5" t="s">
        <v>123</v>
      </c>
      <c r="N414" s="5" t="s">
        <v>39</v>
      </c>
      <c r="O414" s="5">
        <v>94110</v>
      </c>
      <c r="P414" s="5" t="s">
        <v>40</v>
      </c>
      <c r="Q414" s="5" t="s">
        <v>1444</v>
      </c>
      <c r="R414" s="5" t="s">
        <v>28</v>
      </c>
      <c r="S414" s="5" t="s">
        <v>29</v>
      </c>
      <c r="T414" s="5" t="s">
        <v>1445</v>
      </c>
      <c r="U414" s="7">
        <v>1336.829</v>
      </c>
    </row>
    <row r="415" spans="1:21" x14ac:dyDescent="0.3">
      <c r="A415" s="8">
        <v>414</v>
      </c>
      <c r="B415" s="9" t="s">
        <v>1430</v>
      </c>
      <c r="C415" s="10">
        <v>43442</v>
      </c>
      <c r="D415" s="6" t="str">
        <f t="shared" si="18"/>
        <v>Dec</v>
      </c>
      <c r="E415" s="12">
        <f t="shared" si="19"/>
        <v>2018</v>
      </c>
      <c r="F415" s="10">
        <v>43446</v>
      </c>
      <c r="G415" s="12">
        <f t="shared" si="20"/>
        <v>4</v>
      </c>
      <c r="H415" s="9" t="s">
        <v>46</v>
      </c>
      <c r="I415" s="9" t="s">
        <v>1431</v>
      </c>
      <c r="J415" s="9" t="s">
        <v>1432</v>
      </c>
      <c r="K415" s="9" t="s">
        <v>22</v>
      </c>
      <c r="L415" s="9" t="s">
        <v>23</v>
      </c>
      <c r="M415" s="9" t="s">
        <v>123</v>
      </c>
      <c r="N415" s="9" t="s">
        <v>39</v>
      </c>
      <c r="O415" s="9">
        <v>94110</v>
      </c>
      <c r="P415" s="9" t="s">
        <v>40</v>
      </c>
      <c r="Q415" s="9" t="s">
        <v>1446</v>
      </c>
      <c r="R415" s="9" t="s">
        <v>28</v>
      </c>
      <c r="S415" s="9" t="s">
        <v>32</v>
      </c>
      <c r="T415" s="9" t="s">
        <v>1447</v>
      </c>
      <c r="U415" s="11">
        <v>113.568</v>
      </c>
    </row>
    <row r="416" spans="1:21" x14ac:dyDescent="0.3">
      <c r="A416" s="4">
        <v>415</v>
      </c>
      <c r="B416" s="5" t="s">
        <v>1448</v>
      </c>
      <c r="C416" s="6">
        <v>43407</v>
      </c>
      <c r="D416" s="6" t="str">
        <f t="shared" si="18"/>
        <v>Nov</v>
      </c>
      <c r="E416" s="12">
        <f t="shared" si="19"/>
        <v>2018</v>
      </c>
      <c r="F416" s="6">
        <v>43411</v>
      </c>
      <c r="G416" s="12">
        <f t="shared" si="20"/>
        <v>4</v>
      </c>
      <c r="H416" s="5" t="s">
        <v>46</v>
      </c>
      <c r="I416" s="5" t="s">
        <v>1449</v>
      </c>
      <c r="J416" s="5" t="s">
        <v>1450</v>
      </c>
      <c r="K416" s="5" t="s">
        <v>37</v>
      </c>
      <c r="L416" s="5" t="s">
        <v>23</v>
      </c>
      <c r="M416" s="5" t="s">
        <v>91</v>
      </c>
      <c r="N416" s="5" t="s">
        <v>92</v>
      </c>
      <c r="O416" s="5">
        <v>98105</v>
      </c>
      <c r="P416" s="5" t="s">
        <v>40</v>
      </c>
      <c r="Q416" s="5" t="s">
        <v>1451</v>
      </c>
      <c r="R416" s="5" t="s">
        <v>42</v>
      </c>
      <c r="S416" s="5" t="s">
        <v>86</v>
      </c>
      <c r="T416" s="5" t="s">
        <v>1452</v>
      </c>
      <c r="U416" s="7">
        <v>139.86000000000001</v>
      </c>
    </row>
    <row r="417" spans="1:21" x14ac:dyDescent="0.3">
      <c r="A417" s="8">
        <v>416</v>
      </c>
      <c r="B417" s="9" t="s">
        <v>1448</v>
      </c>
      <c r="C417" s="10">
        <v>43407</v>
      </c>
      <c r="D417" s="6" t="str">
        <f t="shared" si="18"/>
        <v>Nov</v>
      </c>
      <c r="E417" s="12">
        <f t="shared" si="19"/>
        <v>2018</v>
      </c>
      <c r="F417" s="10">
        <v>43411</v>
      </c>
      <c r="G417" s="12">
        <f t="shared" si="20"/>
        <v>4</v>
      </c>
      <c r="H417" s="9" t="s">
        <v>46</v>
      </c>
      <c r="I417" s="9" t="s">
        <v>1449</v>
      </c>
      <c r="J417" s="9" t="s">
        <v>1450</v>
      </c>
      <c r="K417" s="9" t="s">
        <v>37</v>
      </c>
      <c r="L417" s="9" t="s">
        <v>23</v>
      </c>
      <c r="M417" s="9" t="s">
        <v>91</v>
      </c>
      <c r="N417" s="9" t="s">
        <v>92</v>
      </c>
      <c r="O417" s="9">
        <v>98105</v>
      </c>
      <c r="P417" s="9" t="s">
        <v>40</v>
      </c>
      <c r="Q417" s="9" t="s">
        <v>1083</v>
      </c>
      <c r="R417" s="9" t="s">
        <v>28</v>
      </c>
      <c r="S417" s="9" t="s">
        <v>32</v>
      </c>
      <c r="T417" s="9" t="s">
        <v>1084</v>
      </c>
      <c r="U417" s="11">
        <v>307.13600000000002</v>
      </c>
    </row>
    <row r="418" spans="1:21" x14ac:dyDescent="0.3">
      <c r="A418" s="4">
        <v>417</v>
      </c>
      <c r="B418" s="5" t="s">
        <v>1453</v>
      </c>
      <c r="C418" s="6">
        <v>43275</v>
      </c>
      <c r="D418" s="6" t="str">
        <f t="shared" si="18"/>
        <v>Jun</v>
      </c>
      <c r="E418" s="12">
        <f t="shared" si="19"/>
        <v>2018</v>
      </c>
      <c r="F418" s="6">
        <v>43279</v>
      </c>
      <c r="G418" s="12">
        <f t="shared" si="20"/>
        <v>4</v>
      </c>
      <c r="H418" s="5" t="s">
        <v>46</v>
      </c>
      <c r="I418" s="5" t="s">
        <v>1454</v>
      </c>
      <c r="J418" s="5" t="s">
        <v>1455</v>
      </c>
      <c r="K418" s="5" t="s">
        <v>22</v>
      </c>
      <c r="L418" s="5" t="s">
        <v>23</v>
      </c>
      <c r="M418" s="5" t="s">
        <v>1456</v>
      </c>
      <c r="N418" s="5" t="s">
        <v>39</v>
      </c>
      <c r="O418" s="5">
        <v>92646</v>
      </c>
      <c r="P418" s="5" t="s">
        <v>40</v>
      </c>
      <c r="Q418" s="5" t="s">
        <v>1457</v>
      </c>
      <c r="R418" s="5" t="s">
        <v>42</v>
      </c>
      <c r="S418" s="5" t="s">
        <v>64</v>
      </c>
      <c r="T418" s="5" t="s">
        <v>1458</v>
      </c>
      <c r="U418" s="7">
        <v>95.92</v>
      </c>
    </row>
    <row r="419" spans="1:21" x14ac:dyDescent="0.3">
      <c r="A419" s="8">
        <v>418</v>
      </c>
      <c r="B419" s="9" t="s">
        <v>1459</v>
      </c>
      <c r="C419" s="10">
        <v>42839</v>
      </c>
      <c r="D419" s="6" t="str">
        <f t="shared" si="18"/>
        <v>Apr</v>
      </c>
      <c r="E419" s="12">
        <f t="shared" si="19"/>
        <v>2017</v>
      </c>
      <c r="F419" s="10">
        <v>42843</v>
      </c>
      <c r="G419" s="12">
        <f t="shared" si="20"/>
        <v>4</v>
      </c>
      <c r="H419" s="9" t="s">
        <v>46</v>
      </c>
      <c r="I419" s="9" t="s">
        <v>1460</v>
      </c>
      <c r="J419" s="9" t="s">
        <v>1461</v>
      </c>
      <c r="K419" s="9" t="s">
        <v>22</v>
      </c>
      <c r="L419" s="9" t="s">
        <v>23</v>
      </c>
      <c r="M419" s="9" t="s">
        <v>38</v>
      </c>
      <c r="N419" s="9" t="s">
        <v>39</v>
      </c>
      <c r="O419" s="9">
        <v>90004</v>
      </c>
      <c r="P419" s="9" t="s">
        <v>40</v>
      </c>
      <c r="Q419" s="9" t="s">
        <v>1462</v>
      </c>
      <c r="R419" s="9" t="s">
        <v>28</v>
      </c>
      <c r="S419" s="9" t="s">
        <v>32</v>
      </c>
      <c r="T419" s="9" t="s">
        <v>1463</v>
      </c>
      <c r="U419" s="11">
        <v>383.8</v>
      </c>
    </row>
    <row r="420" spans="1:21" x14ac:dyDescent="0.3">
      <c r="A420" s="4">
        <v>419</v>
      </c>
      <c r="B420" s="5" t="s">
        <v>1464</v>
      </c>
      <c r="C420" s="6">
        <v>43410</v>
      </c>
      <c r="D420" s="6" t="str">
        <f t="shared" si="18"/>
        <v>Nov</v>
      </c>
      <c r="E420" s="12">
        <f t="shared" si="19"/>
        <v>2018</v>
      </c>
      <c r="F420" s="6">
        <v>43414</v>
      </c>
      <c r="G420" s="12">
        <f t="shared" si="20"/>
        <v>4</v>
      </c>
      <c r="H420" s="5" t="s">
        <v>46</v>
      </c>
      <c r="I420" s="5" t="s">
        <v>1269</v>
      </c>
      <c r="J420" s="5" t="s">
        <v>1270</v>
      </c>
      <c r="K420" s="5" t="s">
        <v>37</v>
      </c>
      <c r="L420" s="5" t="s">
        <v>23</v>
      </c>
      <c r="M420" s="5" t="s">
        <v>1465</v>
      </c>
      <c r="N420" s="5" t="s">
        <v>25</v>
      </c>
      <c r="O420" s="5">
        <v>40475</v>
      </c>
      <c r="P420" s="5" t="s">
        <v>26</v>
      </c>
      <c r="Q420" s="5" t="s">
        <v>1466</v>
      </c>
      <c r="R420" s="5" t="s">
        <v>42</v>
      </c>
      <c r="S420" s="5" t="s">
        <v>86</v>
      </c>
      <c r="T420" s="5" t="s">
        <v>1467</v>
      </c>
      <c r="U420" s="7">
        <v>5.78</v>
      </c>
    </row>
    <row r="421" spans="1:21" x14ac:dyDescent="0.3">
      <c r="A421" s="8">
        <v>420</v>
      </c>
      <c r="B421" s="9" t="s">
        <v>1468</v>
      </c>
      <c r="C421" s="10">
        <v>43163</v>
      </c>
      <c r="D421" s="6" t="str">
        <f t="shared" si="18"/>
        <v>Mar</v>
      </c>
      <c r="E421" s="12">
        <f t="shared" si="19"/>
        <v>2018</v>
      </c>
      <c r="F421" s="10">
        <v>43168</v>
      </c>
      <c r="G421" s="12">
        <f t="shared" si="20"/>
        <v>5</v>
      </c>
      <c r="H421" s="9" t="s">
        <v>46</v>
      </c>
      <c r="I421" s="9" t="s">
        <v>1156</v>
      </c>
      <c r="J421" s="9" t="s">
        <v>1157</v>
      </c>
      <c r="K421" s="9" t="s">
        <v>37</v>
      </c>
      <c r="L421" s="9" t="s">
        <v>23</v>
      </c>
      <c r="M421" s="9" t="s">
        <v>38</v>
      </c>
      <c r="N421" s="9" t="s">
        <v>39</v>
      </c>
      <c r="O421" s="9">
        <v>90045</v>
      </c>
      <c r="P421" s="9" t="s">
        <v>40</v>
      </c>
      <c r="Q421" s="9" t="s">
        <v>1469</v>
      </c>
      <c r="R421" s="9" t="s">
        <v>42</v>
      </c>
      <c r="S421" s="9" t="s">
        <v>64</v>
      </c>
      <c r="T421" s="9" t="s">
        <v>1470</v>
      </c>
      <c r="U421" s="11">
        <v>9.32</v>
      </c>
    </row>
    <row r="422" spans="1:21" x14ac:dyDescent="0.3">
      <c r="A422" s="4">
        <v>421</v>
      </c>
      <c r="B422" s="5" t="s">
        <v>1468</v>
      </c>
      <c r="C422" s="6">
        <v>43163</v>
      </c>
      <c r="D422" s="6" t="str">
        <f t="shared" si="18"/>
        <v>Mar</v>
      </c>
      <c r="E422" s="12">
        <f t="shared" si="19"/>
        <v>2018</v>
      </c>
      <c r="F422" s="6">
        <v>43168</v>
      </c>
      <c r="G422" s="12">
        <f t="shared" si="20"/>
        <v>5</v>
      </c>
      <c r="H422" s="5" t="s">
        <v>46</v>
      </c>
      <c r="I422" s="5" t="s">
        <v>1156</v>
      </c>
      <c r="J422" s="5" t="s">
        <v>1157</v>
      </c>
      <c r="K422" s="5" t="s">
        <v>37</v>
      </c>
      <c r="L422" s="5" t="s">
        <v>23</v>
      </c>
      <c r="M422" s="5" t="s">
        <v>38</v>
      </c>
      <c r="N422" s="5" t="s">
        <v>39</v>
      </c>
      <c r="O422" s="5">
        <v>90045</v>
      </c>
      <c r="P422" s="5" t="s">
        <v>40</v>
      </c>
      <c r="Q422" s="5" t="s">
        <v>1471</v>
      </c>
      <c r="R422" s="5" t="s">
        <v>42</v>
      </c>
      <c r="S422" s="5" t="s">
        <v>169</v>
      </c>
      <c r="T422" s="5" t="s">
        <v>1472</v>
      </c>
      <c r="U422" s="7">
        <v>15.25</v>
      </c>
    </row>
    <row r="423" spans="1:21" x14ac:dyDescent="0.3">
      <c r="A423" s="8">
        <v>422</v>
      </c>
      <c r="B423" s="9" t="s">
        <v>1473</v>
      </c>
      <c r="C423" s="10">
        <v>42177</v>
      </c>
      <c r="D423" s="6" t="str">
        <f t="shared" si="18"/>
        <v>Jun</v>
      </c>
      <c r="E423" s="12">
        <f t="shared" si="19"/>
        <v>2015</v>
      </c>
      <c r="F423" s="10">
        <v>42180</v>
      </c>
      <c r="G423" s="12">
        <f t="shared" si="20"/>
        <v>3</v>
      </c>
      <c r="H423" s="9" t="s">
        <v>184</v>
      </c>
      <c r="I423" s="9" t="s">
        <v>328</v>
      </c>
      <c r="J423" s="9" t="s">
        <v>329</v>
      </c>
      <c r="K423" s="9" t="s">
        <v>22</v>
      </c>
      <c r="L423" s="9" t="s">
        <v>23</v>
      </c>
      <c r="M423" s="9" t="s">
        <v>1474</v>
      </c>
      <c r="N423" s="9" t="s">
        <v>453</v>
      </c>
      <c r="O423" s="9">
        <v>80027</v>
      </c>
      <c r="P423" s="9" t="s">
        <v>40</v>
      </c>
      <c r="Q423" s="9" t="s">
        <v>1475</v>
      </c>
      <c r="R423" s="9" t="s">
        <v>67</v>
      </c>
      <c r="S423" s="9" t="s">
        <v>157</v>
      </c>
      <c r="T423" s="9" t="s">
        <v>1476</v>
      </c>
      <c r="U423" s="11">
        <v>196.75200000000001</v>
      </c>
    </row>
    <row r="424" spans="1:21" x14ac:dyDescent="0.3">
      <c r="A424" s="4">
        <v>423</v>
      </c>
      <c r="B424" s="5" t="s">
        <v>1477</v>
      </c>
      <c r="C424" s="6">
        <v>43392</v>
      </c>
      <c r="D424" s="6" t="str">
        <f t="shared" si="18"/>
        <v>Oct</v>
      </c>
      <c r="E424" s="12">
        <f t="shared" si="19"/>
        <v>2018</v>
      </c>
      <c r="F424" s="6">
        <v>43396</v>
      </c>
      <c r="G424" s="12">
        <f t="shared" si="20"/>
        <v>4</v>
      </c>
      <c r="H424" s="5" t="s">
        <v>46</v>
      </c>
      <c r="I424" s="5" t="s">
        <v>1478</v>
      </c>
      <c r="J424" s="5" t="s">
        <v>1479</v>
      </c>
      <c r="K424" s="5" t="s">
        <v>37</v>
      </c>
      <c r="L424" s="5" t="s">
        <v>23</v>
      </c>
      <c r="M424" s="5" t="s">
        <v>1480</v>
      </c>
      <c r="N424" s="5" t="s">
        <v>1244</v>
      </c>
      <c r="O424" s="5">
        <v>1841</v>
      </c>
      <c r="P424" s="5" t="s">
        <v>144</v>
      </c>
      <c r="Q424" s="5" t="s">
        <v>1481</v>
      </c>
      <c r="R424" s="5" t="s">
        <v>28</v>
      </c>
      <c r="S424" s="5" t="s">
        <v>61</v>
      </c>
      <c r="T424" s="5" t="s">
        <v>1482</v>
      </c>
      <c r="U424" s="7">
        <v>56.56</v>
      </c>
    </row>
    <row r="425" spans="1:21" x14ac:dyDescent="0.3">
      <c r="A425" s="8">
        <v>424</v>
      </c>
      <c r="B425" s="9" t="s">
        <v>1477</v>
      </c>
      <c r="C425" s="10">
        <v>43392</v>
      </c>
      <c r="D425" s="6" t="str">
        <f t="shared" si="18"/>
        <v>Oct</v>
      </c>
      <c r="E425" s="12">
        <f t="shared" si="19"/>
        <v>2018</v>
      </c>
      <c r="F425" s="10">
        <v>43396</v>
      </c>
      <c r="G425" s="12">
        <f t="shared" si="20"/>
        <v>4</v>
      </c>
      <c r="H425" s="9" t="s">
        <v>46</v>
      </c>
      <c r="I425" s="9" t="s">
        <v>1478</v>
      </c>
      <c r="J425" s="9" t="s">
        <v>1479</v>
      </c>
      <c r="K425" s="9" t="s">
        <v>37</v>
      </c>
      <c r="L425" s="9" t="s">
        <v>23</v>
      </c>
      <c r="M425" s="9" t="s">
        <v>1480</v>
      </c>
      <c r="N425" s="9" t="s">
        <v>1244</v>
      </c>
      <c r="O425" s="9">
        <v>1841</v>
      </c>
      <c r="P425" s="9" t="s">
        <v>144</v>
      </c>
      <c r="Q425" s="9" t="s">
        <v>1483</v>
      </c>
      <c r="R425" s="9" t="s">
        <v>42</v>
      </c>
      <c r="S425" s="9" t="s">
        <v>55</v>
      </c>
      <c r="T425" s="9" t="s">
        <v>1484</v>
      </c>
      <c r="U425" s="11">
        <v>32.700000000000003</v>
      </c>
    </row>
    <row r="426" spans="1:21" x14ac:dyDescent="0.3">
      <c r="A426" s="4">
        <v>425</v>
      </c>
      <c r="B426" s="5" t="s">
        <v>1485</v>
      </c>
      <c r="C426" s="6">
        <v>43333</v>
      </c>
      <c r="D426" s="6" t="str">
        <f t="shared" si="18"/>
        <v>Aug</v>
      </c>
      <c r="E426" s="12">
        <f t="shared" si="19"/>
        <v>2018</v>
      </c>
      <c r="F426" s="6">
        <v>43335</v>
      </c>
      <c r="G426" s="12">
        <f t="shared" si="20"/>
        <v>2</v>
      </c>
      <c r="H426" s="5" t="s">
        <v>19</v>
      </c>
      <c r="I426" s="5" t="s">
        <v>1486</v>
      </c>
      <c r="J426" s="5" t="s">
        <v>1487</v>
      </c>
      <c r="K426" s="5" t="s">
        <v>22</v>
      </c>
      <c r="L426" s="5" t="s">
        <v>23</v>
      </c>
      <c r="M426" s="5" t="s">
        <v>324</v>
      </c>
      <c r="N426" s="5" t="s">
        <v>1488</v>
      </c>
      <c r="O426" s="5">
        <v>39212</v>
      </c>
      <c r="P426" s="5" t="s">
        <v>26</v>
      </c>
      <c r="Q426" s="5" t="s">
        <v>1489</v>
      </c>
      <c r="R426" s="5" t="s">
        <v>28</v>
      </c>
      <c r="S426" s="5" t="s">
        <v>32</v>
      </c>
      <c r="T426" s="5" t="s">
        <v>1490</v>
      </c>
      <c r="U426" s="7">
        <v>866.4</v>
      </c>
    </row>
    <row r="427" spans="1:21" x14ac:dyDescent="0.3">
      <c r="A427" s="8">
        <v>426</v>
      </c>
      <c r="B427" s="9" t="s">
        <v>1491</v>
      </c>
      <c r="C427" s="10">
        <v>43427</v>
      </c>
      <c r="D427" s="6" t="str">
        <f t="shared" si="18"/>
        <v>Nov</v>
      </c>
      <c r="E427" s="12">
        <f t="shared" si="19"/>
        <v>2018</v>
      </c>
      <c r="F427" s="10">
        <v>43430</v>
      </c>
      <c r="G427" s="12">
        <f t="shared" si="20"/>
        <v>3</v>
      </c>
      <c r="H427" s="9" t="s">
        <v>19</v>
      </c>
      <c r="I427" s="9" t="s">
        <v>260</v>
      </c>
      <c r="J427" s="9" t="s">
        <v>261</v>
      </c>
      <c r="K427" s="9" t="s">
        <v>37</v>
      </c>
      <c r="L427" s="9" t="s">
        <v>23</v>
      </c>
      <c r="M427" s="9" t="s">
        <v>1492</v>
      </c>
      <c r="N427" s="9" t="s">
        <v>234</v>
      </c>
      <c r="O427" s="9">
        <v>48187</v>
      </c>
      <c r="P427" s="9" t="s">
        <v>101</v>
      </c>
      <c r="Q427" s="9" t="s">
        <v>1493</v>
      </c>
      <c r="R427" s="9" t="s">
        <v>28</v>
      </c>
      <c r="S427" s="9" t="s">
        <v>61</v>
      </c>
      <c r="T427" s="9" t="s">
        <v>1494</v>
      </c>
      <c r="U427" s="11">
        <v>28.4</v>
      </c>
    </row>
    <row r="428" spans="1:21" x14ac:dyDescent="0.3">
      <c r="A428" s="4">
        <v>427</v>
      </c>
      <c r="B428" s="5" t="s">
        <v>1491</v>
      </c>
      <c r="C428" s="6">
        <v>43427</v>
      </c>
      <c r="D428" s="6" t="str">
        <f t="shared" si="18"/>
        <v>Nov</v>
      </c>
      <c r="E428" s="12">
        <f t="shared" si="19"/>
        <v>2018</v>
      </c>
      <c r="F428" s="6">
        <v>43430</v>
      </c>
      <c r="G428" s="12">
        <f t="shared" si="20"/>
        <v>3</v>
      </c>
      <c r="H428" s="5" t="s">
        <v>19</v>
      </c>
      <c r="I428" s="5" t="s">
        <v>260</v>
      </c>
      <c r="J428" s="5" t="s">
        <v>261</v>
      </c>
      <c r="K428" s="5" t="s">
        <v>37</v>
      </c>
      <c r="L428" s="5" t="s">
        <v>23</v>
      </c>
      <c r="M428" s="5" t="s">
        <v>1492</v>
      </c>
      <c r="N428" s="5" t="s">
        <v>234</v>
      </c>
      <c r="O428" s="5">
        <v>48187</v>
      </c>
      <c r="P428" s="5" t="s">
        <v>101</v>
      </c>
      <c r="Q428" s="5" t="s">
        <v>1495</v>
      </c>
      <c r="R428" s="5" t="s">
        <v>42</v>
      </c>
      <c r="S428" s="5" t="s">
        <v>71</v>
      </c>
      <c r="T428" s="5" t="s">
        <v>1496</v>
      </c>
      <c r="U428" s="7">
        <v>287.92</v>
      </c>
    </row>
    <row r="429" spans="1:21" x14ac:dyDescent="0.3">
      <c r="A429" s="8">
        <v>428</v>
      </c>
      <c r="B429" s="9" t="s">
        <v>1497</v>
      </c>
      <c r="C429" s="10">
        <v>42259</v>
      </c>
      <c r="D429" s="6" t="str">
        <f t="shared" si="18"/>
        <v>Sep</v>
      </c>
      <c r="E429" s="12">
        <f t="shared" si="19"/>
        <v>2015</v>
      </c>
      <c r="F429" s="10">
        <v>42260</v>
      </c>
      <c r="G429" s="12">
        <f t="shared" si="20"/>
        <v>1</v>
      </c>
      <c r="H429" s="9" t="s">
        <v>184</v>
      </c>
      <c r="I429" s="9" t="s">
        <v>1498</v>
      </c>
      <c r="J429" s="9" t="s">
        <v>1499</v>
      </c>
      <c r="K429" s="9" t="s">
        <v>98</v>
      </c>
      <c r="L429" s="9" t="s">
        <v>23</v>
      </c>
      <c r="M429" s="9" t="s">
        <v>1500</v>
      </c>
      <c r="N429" s="9" t="s">
        <v>263</v>
      </c>
      <c r="O429" s="9">
        <v>10801</v>
      </c>
      <c r="P429" s="9" t="s">
        <v>144</v>
      </c>
      <c r="Q429" s="9" t="s">
        <v>1501</v>
      </c>
      <c r="R429" s="9" t="s">
        <v>67</v>
      </c>
      <c r="S429" s="9" t="s">
        <v>680</v>
      </c>
      <c r="T429" s="9" t="s">
        <v>1502</v>
      </c>
      <c r="U429" s="11">
        <v>69.989999999999995</v>
      </c>
    </row>
    <row r="430" spans="1:21" x14ac:dyDescent="0.3">
      <c r="A430" s="4">
        <v>429</v>
      </c>
      <c r="B430" s="5" t="s">
        <v>1503</v>
      </c>
      <c r="C430" s="6">
        <v>43374</v>
      </c>
      <c r="D430" s="6" t="str">
        <f t="shared" si="18"/>
        <v>Oct</v>
      </c>
      <c r="E430" s="12">
        <f t="shared" si="19"/>
        <v>2018</v>
      </c>
      <c r="F430" s="6">
        <v>43381</v>
      </c>
      <c r="G430" s="12">
        <f t="shared" si="20"/>
        <v>7</v>
      </c>
      <c r="H430" s="5" t="s">
        <v>46</v>
      </c>
      <c r="I430" s="5" t="s">
        <v>1504</v>
      </c>
      <c r="J430" s="5" t="s">
        <v>1505</v>
      </c>
      <c r="K430" s="5" t="s">
        <v>37</v>
      </c>
      <c r="L430" s="5" t="s">
        <v>23</v>
      </c>
      <c r="M430" s="5" t="s">
        <v>676</v>
      </c>
      <c r="N430" s="5" t="s">
        <v>100</v>
      </c>
      <c r="O430" s="5">
        <v>78207</v>
      </c>
      <c r="P430" s="5" t="s">
        <v>101</v>
      </c>
      <c r="Q430" s="5" t="s">
        <v>1506</v>
      </c>
      <c r="R430" s="5" t="s">
        <v>42</v>
      </c>
      <c r="S430" s="5" t="s">
        <v>64</v>
      </c>
      <c r="T430" s="5" t="s">
        <v>1507</v>
      </c>
      <c r="U430" s="7">
        <v>6.6719999999999997</v>
      </c>
    </row>
    <row r="431" spans="1:21" x14ac:dyDescent="0.3">
      <c r="A431" s="8">
        <v>430</v>
      </c>
      <c r="B431" s="9" t="s">
        <v>1508</v>
      </c>
      <c r="C431" s="10">
        <v>42840</v>
      </c>
      <c r="D431" s="6" t="str">
        <f t="shared" si="18"/>
        <v>Apr</v>
      </c>
      <c r="E431" s="12">
        <f t="shared" si="19"/>
        <v>2017</v>
      </c>
      <c r="F431" s="10">
        <v>42846</v>
      </c>
      <c r="G431" s="12">
        <f t="shared" si="20"/>
        <v>6</v>
      </c>
      <c r="H431" s="9" t="s">
        <v>46</v>
      </c>
      <c r="I431" s="9" t="s">
        <v>1509</v>
      </c>
      <c r="J431" s="9" t="s">
        <v>1510</v>
      </c>
      <c r="K431" s="9" t="s">
        <v>98</v>
      </c>
      <c r="L431" s="9" t="s">
        <v>23</v>
      </c>
      <c r="M431" s="9" t="s">
        <v>1511</v>
      </c>
      <c r="N431" s="9" t="s">
        <v>84</v>
      </c>
      <c r="O431" s="9">
        <v>28052</v>
      </c>
      <c r="P431" s="9" t="s">
        <v>26</v>
      </c>
      <c r="Q431" s="9" t="s">
        <v>1512</v>
      </c>
      <c r="R431" s="9" t="s">
        <v>42</v>
      </c>
      <c r="S431" s="9" t="s">
        <v>71</v>
      </c>
      <c r="T431" s="9" t="s">
        <v>1513</v>
      </c>
      <c r="U431" s="11">
        <v>189.58799999999999</v>
      </c>
    </row>
    <row r="432" spans="1:21" x14ac:dyDescent="0.3">
      <c r="A432" s="4">
        <v>431</v>
      </c>
      <c r="B432" s="5" t="s">
        <v>1508</v>
      </c>
      <c r="C432" s="6">
        <v>42840</v>
      </c>
      <c r="D432" s="6" t="str">
        <f t="shared" si="18"/>
        <v>Apr</v>
      </c>
      <c r="E432" s="12">
        <f t="shared" si="19"/>
        <v>2017</v>
      </c>
      <c r="F432" s="6">
        <v>42846</v>
      </c>
      <c r="G432" s="12">
        <f t="shared" si="20"/>
        <v>6</v>
      </c>
      <c r="H432" s="5" t="s">
        <v>46</v>
      </c>
      <c r="I432" s="5" t="s">
        <v>1509</v>
      </c>
      <c r="J432" s="5" t="s">
        <v>1510</v>
      </c>
      <c r="K432" s="5" t="s">
        <v>98</v>
      </c>
      <c r="L432" s="5" t="s">
        <v>23</v>
      </c>
      <c r="M432" s="5" t="s">
        <v>1511</v>
      </c>
      <c r="N432" s="5" t="s">
        <v>84</v>
      </c>
      <c r="O432" s="5">
        <v>28052</v>
      </c>
      <c r="P432" s="5" t="s">
        <v>26</v>
      </c>
      <c r="Q432" s="5" t="s">
        <v>728</v>
      </c>
      <c r="R432" s="5" t="s">
        <v>67</v>
      </c>
      <c r="S432" s="5" t="s">
        <v>157</v>
      </c>
      <c r="T432" s="5" t="s">
        <v>729</v>
      </c>
      <c r="U432" s="7">
        <v>408.74400000000003</v>
      </c>
    </row>
    <row r="433" spans="1:21" x14ac:dyDescent="0.3">
      <c r="A433" s="8">
        <v>432</v>
      </c>
      <c r="B433" s="9" t="s">
        <v>1508</v>
      </c>
      <c r="C433" s="10">
        <v>42840</v>
      </c>
      <c r="D433" s="6" t="str">
        <f t="shared" si="18"/>
        <v>Apr</v>
      </c>
      <c r="E433" s="12">
        <f t="shared" si="19"/>
        <v>2017</v>
      </c>
      <c r="F433" s="10">
        <v>42846</v>
      </c>
      <c r="G433" s="12">
        <f t="shared" si="20"/>
        <v>6</v>
      </c>
      <c r="H433" s="9" t="s">
        <v>46</v>
      </c>
      <c r="I433" s="9" t="s">
        <v>1509</v>
      </c>
      <c r="J433" s="9" t="s">
        <v>1510</v>
      </c>
      <c r="K433" s="9" t="s">
        <v>98</v>
      </c>
      <c r="L433" s="9" t="s">
        <v>23</v>
      </c>
      <c r="M433" s="9" t="s">
        <v>1511</v>
      </c>
      <c r="N433" s="9" t="s">
        <v>84</v>
      </c>
      <c r="O433" s="9">
        <v>28052</v>
      </c>
      <c r="P433" s="9" t="s">
        <v>26</v>
      </c>
      <c r="Q433" s="9" t="s">
        <v>728</v>
      </c>
      <c r="R433" s="9" t="s">
        <v>67</v>
      </c>
      <c r="S433" s="9" t="s">
        <v>157</v>
      </c>
      <c r="T433" s="9" t="s">
        <v>729</v>
      </c>
      <c r="U433" s="11">
        <v>291.95999999999998</v>
      </c>
    </row>
    <row r="434" spans="1:21" x14ac:dyDescent="0.3">
      <c r="A434" s="4">
        <v>433</v>
      </c>
      <c r="B434" s="5" t="s">
        <v>1508</v>
      </c>
      <c r="C434" s="6">
        <v>42840</v>
      </c>
      <c r="D434" s="6" t="str">
        <f t="shared" si="18"/>
        <v>Apr</v>
      </c>
      <c r="E434" s="12">
        <f t="shared" si="19"/>
        <v>2017</v>
      </c>
      <c r="F434" s="6">
        <v>42846</v>
      </c>
      <c r="G434" s="12">
        <f t="shared" si="20"/>
        <v>6</v>
      </c>
      <c r="H434" s="5" t="s">
        <v>46</v>
      </c>
      <c r="I434" s="5" t="s">
        <v>1509</v>
      </c>
      <c r="J434" s="5" t="s">
        <v>1510</v>
      </c>
      <c r="K434" s="5" t="s">
        <v>98</v>
      </c>
      <c r="L434" s="5" t="s">
        <v>23</v>
      </c>
      <c r="M434" s="5" t="s">
        <v>1511</v>
      </c>
      <c r="N434" s="5" t="s">
        <v>84</v>
      </c>
      <c r="O434" s="5">
        <v>28052</v>
      </c>
      <c r="P434" s="5" t="s">
        <v>26</v>
      </c>
      <c r="Q434" s="5" t="s">
        <v>1514</v>
      </c>
      <c r="R434" s="5" t="s">
        <v>42</v>
      </c>
      <c r="S434" s="5" t="s">
        <v>55</v>
      </c>
      <c r="T434" s="5" t="s">
        <v>1515</v>
      </c>
      <c r="U434" s="7">
        <v>4.7679999999999998</v>
      </c>
    </row>
    <row r="435" spans="1:21" x14ac:dyDescent="0.3">
      <c r="A435" s="8">
        <v>434</v>
      </c>
      <c r="B435" s="9" t="s">
        <v>1516</v>
      </c>
      <c r="C435" s="10">
        <v>42892</v>
      </c>
      <c r="D435" s="6" t="str">
        <f t="shared" si="18"/>
        <v>Jun</v>
      </c>
      <c r="E435" s="12">
        <f t="shared" si="19"/>
        <v>2017</v>
      </c>
      <c r="F435" s="10">
        <v>42893</v>
      </c>
      <c r="G435" s="12">
        <f t="shared" si="20"/>
        <v>1</v>
      </c>
      <c r="H435" s="9" t="s">
        <v>184</v>
      </c>
      <c r="I435" s="9" t="s">
        <v>640</v>
      </c>
      <c r="J435" s="9" t="s">
        <v>641</v>
      </c>
      <c r="K435" s="9" t="s">
        <v>22</v>
      </c>
      <c r="L435" s="9" t="s">
        <v>23</v>
      </c>
      <c r="M435" s="9" t="s">
        <v>1243</v>
      </c>
      <c r="N435" s="9" t="s">
        <v>1244</v>
      </c>
      <c r="O435" s="9">
        <v>1852</v>
      </c>
      <c r="P435" s="9" t="s">
        <v>144</v>
      </c>
      <c r="Q435" s="9" t="s">
        <v>1517</v>
      </c>
      <c r="R435" s="9" t="s">
        <v>42</v>
      </c>
      <c r="S435" s="9" t="s">
        <v>55</v>
      </c>
      <c r="T435" s="9" t="s">
        <v>1518</v>
      </c>
      <c r="U435" s="11">
        <v>714.3</v>
      </c>
    </row>
    <row r="436" spans="1:21" x14ac:dyDescent="0.3">
      <c r="A436" s="4">
        <v>435</v>
      </c>
      <c r="B436" s="5" t="s">
        <v>1519</v>
      </c>
      <c r="C436" s="6">
        <v>42357</v>
      </c>
      <c r="D436" s="6" t="str">
        <f t="shared" si="18"/>
        <v>Dec</v>
      </c>
      <c r="E436" s="12">
        <f t="shared" si="19"/>
        <v>2015</v>
      </c>
      <c r="F436" s="6">
        <v>42363</v>
      </c>
      <c r="G436" s="12">
        <f t="shared" si="20"/>
        <v>6</v>
      </c>
      <c r="H436" s="5" t="s">
        <v>46</v>
      </c>
      <c r="I436" s="5" t="s">
        <v>1520</v>
      </c>
      <c r="J436" s="5" t="s">
        <v>1521</v>
      </c>
      <c r="K436" s="5" t="s">
        <v>22</v>
      </c>
      <c r="L436" s="5" t="s">
        <v>23</v>
      </c>
      <c r="M436" s="5" t="s">
        <v>1522</v>
      </c>
      <c r="N436" s="5" t="s">
        <v>50</v>
      </c>
      <c r="O436" s="5">
        <v>32216</v>
      </c>
      <c r="P436" s="5" t="s">
        <v>26</v>
      </c>
      <c r="Q436" s="5" t="s">
        <v>1523</v>
      </c>
      <c r="R436" s="5" t="s">
        <v>42</v>
      </c>
      <c r="S436" s="5" t="s">
        <v>71</v>
      </c>
      <c r="T436" s="5" t="s">
        <v>1524</v>
      </c>
      <c r="U436" s="7">
        <v>4.8120000000000003</v>
      </c>
    </row>
    <row r="437" spans="1:21" x14ac:dyDescent="0.3">
      <c r="A437" s="8">
        <v>436</v>
      </c>
      <c r="B437" s="9" t="s">
        <v>1519</v>
      </c>
      <c r="C437" s="10">
        <v>42357</v>
      </c>
      <c r="D437" s="6" t="str">
        <f t="shared" si="18"/>
        <v>Dec</v>
      </c>
      <c r="E437" s="12">
        <f t="shared" si="19"/>
        <v>2015</v>
      </c>
      <c r="F437" s="10">
        <v>42363</v>
      </c>
      <c r="G437" s="12">
        <f t="shared" si="20"/>
        <v>6</v>
      </c>
      <c r="H437" s="9" t="s">
        <v>46</v>
      </c>
      <c r="I437" s="9" t="s">
        <v>1520</v>
      </c>
      <c r="J437" s="9" t="s">
        <v>1521</v>
      </c>
      <c r="K437" s="9" t="s">
        <v>22</v>
      </c>
      <c r="L437" s="9" t="s">
        <v>23</v>
      </c>
      <c r="M437" s="9" t="s">
        <v>1522</v>
      </c>
      <c r="N437" s="9" t="s">
        <v>50</v>
      </c>
      <c r="O437" s="9">
        <v>32216</v>
      </c>
      <c r="P437" s="9" t="s">
        <v>26</v>
      </c>
      <c r="Q437" s="9" t="s">
        <v>1525</v>
      </c>
      <c r="R437" s="9" t="s">
        <v>67</v>
      </c>
      <c r="S437" s="9" t="s">
        <v>157</v>
      </c>
      <c r="T437" s="9" t="s">
        <v>1526</v>
      </c>
      <c r="U437" s="11">
        <v>247.8</v>
      </c>
    </row>
    <row r="438" spans="1:21" x14ac:dyDescent="0.3">
      <c r="A438" s="4">
        <v>437</v>
      </c>
      <c r="B438" s="5" t="s">
        <v>1527</v>
      </c>
      <c r="C438" s="6">
        <v>42898</v>
      </c>
      <c r="D438" s="6" t="str">
        <f t="shared" si="18"/>
        <v>Jun</v>
      </c>
      <c r="E438" s="12">
        <f t="shared" si="19"/>
        <v>2017</v>
      </c>
      <c r="F438" s="6">
        <v>42900</v>
      </c>
      <c r="G438" s="12">
        <f t="shared" si="20"/>
        <v>2</v>
      </c>
      <c r="H438" s="5" t="s">
        <v>19</v>
      </c>
      <c r="I438" s="5" t="s">
        <v>1528</v>
      </c>
      <c r="J438" s="5" t="s">
        <v>1529</v>
      </c>
      <c r="K438" s="5" t="s">
        <v>98</v>
      </c>
      <c r="L438" s="5" t="s">
        <v>23</v>
      </c>
      <c r="M438" s="5" t="s">
        <v>299</v>
      </c>
      <c r="N438" s="5" t="s">
        <v>207</v>
      </c>
      <c r="O438" s="5">
        <v>60623</v>
      </c>
      <c r="P438" s="5" t="s">
        <v>101</v>
      </c>
      <c r="Q438" s="5" t="s">
        <v>1530</v>
      </c>
      <c r="R438" s="5" t="s">
        <v>67</v>
      </c>
      <c r="S438" s="5" t="s">
        <v>680</v>
      </c>
      <c r="T438" s="5" t="s">
        <v>1531</v>
      </c>
      <c r="U438" s="7">
        <v>1007.979</v>
      </c>
    </row>
    <row r="439" spans="1:21" x14ac:dyDescent="0.3">
      <c r="A439" s="8">
        <v>438</v>
      </c>
      <c r="B439" s="9" t="s">
        <v>1527</v>
      </c>
      <c r="C439" s="10">
        <v>42898</v>
      </c>
      <c r="D439" s="6" t="str">
        <f t="shared" si="18"/>
        <v>Jun</v>
      </c>
      <c r="E439" s="12">
        <f t="shared" si="19"/>
        <v>2017</v>
      </c>
      <c r="F439" s="10">
        <v>42900</v>
      </c>
      <c r="G439" s="12">
        <f t="shared" si="20"/>
        <v>2</v>
      </c>
      <c r="H439" s="9" t="s">
        <v>19</v>
      </c>
      <c r="I439" s="9" t="s">
        <v>1528</v>
      </c>
      <c r="J439" s="9" t="s">
        <v>1529</v>
      </c>
      <c r="K439" s="9" t="s">
        <v>98</v>
      </c>
      <c r="L439" s="9" t="s">
        <v>23</v>
      </c>
      <c r="M439" s="9" t="s">
        <v>299</v>
      </c>
      <c r="N439" s="9" t="s">
        <v>207</v>
      </c>
      <c r="O439" s="9">
        <v>60623</v>
      </c>
      <c r="P439" s="9" t="s">
        <v>101</v>
      </c>
      <c r="Q439" s="9" t="s">
        <v>1250</v>
      </c>
      <c r="R439" s="9" t="s">
        <v>42</v>
      </c>
      <c r="S439" s="9" t="s">
        <v>86</v>
      </c>
      <c r="T439" s="9" t="s">
        <v>1443</v>
      </c>
      <c r="U439" s="11">
        <v>313.488</v>
      </c>
    </row>
    <row r="440" spans="1:21" x14ac:dyDescent="0.3">
      <c r="A440" s="4">
        <v>439</v>
      </c>
      <c r="B440" s="5" t="s">
        <v>1532</v>
      </c>
      <c r="C440" s="6">
        <v>43358</v>
      </c>
      <c r="D440" s="6" t="str">
        <f t="shared" si="18"/>
        <v>Sep</v>
      </c>
      <c r="E440" s="12">
        <f t="shared" si="19"/>
        <v>2018</v>
      </c>
      <c r="F440" s="6">
        <v>43362</v>
      </c>
      <c r="G440" s="12">
        <f t="shared" si="20"/>
        <v>4</v>
      </c>
      <c r="H440" s="5" t="s">
        <v>46</v>
      </c>
      <c r="I440" s="5" t="s">
        <v>1533</v>
      </c>
      <c r="J440" s="5" t="s">
        <v>1534</v>
      </c>
      <c r="K440" s="5" t="s">
        <v>37</v>
      </c>
      <c r="L440" s="5" t="s">
        <v>23</v>
      </c>
      <c r="M440" s="5" t="s">
        <v>180</v>
      </c>
      <c r="N440" s="5" t="s">
        <v>100</v>
      </c>
      <c r="O440" s="5">
        <v>77070</v>
      </c>
      <c r="P440" s="5" t="s">
        <v>101</v>
      </c>
      <c r="Q440" s="5" t="s">
        <v>1535</v>
      </c>
      <c r="R440" s="5" t="s">
        <v>42</v>
      </c>
      <c r="S440" s="5" t="s">
        <v>86</v>
      </c>
      <c r="T440" s="5" t="s">
        <v>1536</v>
      </c>
      <c r="U440" s="7">
        <v>31.872</v>
      </c>
    </row>
    <row r="441" spans="1:21" x14ac:dyDescent="0.3">
      <c r="A441" s="8">
        <v>440</v>
      </c>
      <c r="B441" s="9" t="s">
        <v>1537</v>
      </c>
      <c r="C441" s="10">
        <v>43120</v>
      </c>
      <c r="D441" s="6" t="str">
        <f t="shared" si="18"/>
        <v>Jan</v>
      </c>
      <c r="E441" s="12">
        <f t="shared" si="19"/>
        <v>2018</v>
      </c>
      <c r="F441" s="10">
        <v>43123</v>
      </c>
      <c r="G441" s="12">
        <f t="shared" si="20"/>
        <v>3</v>
      </c>
      <c r="H441" s="9" t="s">
        <v>19</v>
      </c>
      <c r="I441" s="9" t="s">
        <v>477</v>
      </c>
      <c r="J441" s="9" t="s">
        <v>478</v>
      </c>
      <c r="K441" s="9" t="s">
        <v>37</v>
      </c>
      <c r="L441" s="9" t="s">
        <v>23</v>
      </c>
      <c r="M441" s="9" t="s">
        <v>262</v>
      </c>
      <c r="N441" s="9" t="s">
        <v>263</v>
      </c>
      <c r="O441" s="9">
        <v>10024</v>
      </c>
      <c r="P441" s="9" t="s">
        <v>144</v>
      </c>
      <c r="Q441" s="9" t="s">
        <v>1538</v>
      </c>
      <c r="R441" s="9" t="s">
        <v>28</v>
      </c>
      <c r="S441" s="9" t="s">
        <v>32</v>
      </c>
      <c r="T441" s="9" t="s">
        <v>1539</v>
      </c>
      <c r="U441" s="11">
        <v>207.846</v>
      </c>
    </row>
    <row r="442" spans="1:21" x14ac:dyDescent="0.3">
      <c r="A442" s="4">
        <v>441</v>
      </c>
      <c r="B442" s="5" t="s">
        <v>1540</v>
      </c>
      <c r="C442" s="6">
        <v>42983</v>
      </c>
      <c r="D442" s="6" t="str">
        <f t="shared" si="18"/>
        <v>Sep</v>
      </c>
      <c r="E442" s="12">
        <f t="shared" si="19"/>
        <v>2017</v>
      </c>
      <c r="F442" s="6">
        <v>42985</v>
      </c>
      <c r="G442" s="12">
        <f t="shared" si="20"/>
        <v>2</v>
      </c>
      <c r="H442" s="5" t="s">
        <v>19</v>
      </c>
      <c r="I442" s="5" t="s">
        <v>107</v>
      </c>
      <c r="J442" s="5" t="s">
        <v>108</v>
      </c>
      <c r="K442" s="5" t="s">
        <v>22</v>
      </c>
      <c r="L442" s="5" t="s">
        <v>23</v>
      </c>
      <c r="M442" s="5" t="s">
        <v>878</v>
      </c>
      <c r="N442" s="5" t="s">
        <v>234</v>
      </c>
      <c r="O442" s="5">
        <v>48227</v>
      </c>
      <c r="P442" s="5" t="s">
        <v>101</v>
      </c>
      <c r="Q442" s="5" t="s">
        <v>1541</v>
      </c>
      <c r="R442" s="5" t="s">
        <v>28</v>
      </c>
      <c r="S442" s="5" t="s">
        <v>61</v>
      </c>
      <c r="T442" s="5" t="s">
        <v>1542</v>
      </c>
      <c r="U442" s="7">
        <v>12.22</v>
      </c>
    </row>
    <row r="443" spans="1:21" x14ac:dyDescent="0.3">
      <c r="A443" s="8">
        <v>442</v>
      </c>
      <c r="B443" s="9" t="s">
        <v>1540</v>
      </c>
      <c r="C443" s="10">
        <v>42983</v>
      </c>
      <c r="D443" s="6" t="str">
        <f t="shared" si="18"/>
        <v>Sep</v>
      </c>
      <c r="E443" s="12">
        <f t="shared" si="19"/>
        <v>2017</v>
      </c>
      <c r="F443" s="10">
        <v>42985</v>
      </c>
      <c r="G443" s="12">
        <f t="shared" si="20"/>
        <v>2</v>
      </c>
      <c r="H443" s="9" t="s">
        <v>19</v>
      </c>
      <c r="I443" s="9" t="s">
        <v>107</v>
      </c>
      <c r="J443" s="9" t="s">
        <v>108</v>
      </c>
      <c r="K443" s="9" t="s">
        <v>22</v>
      </c>
      <c r="L443" s="9" t="s">
        <v>23</v>
      </c>
      <c r="M443" s="9" t="s">
        <v>878</v>
      </c>
      <c r="N443" s="9" t="s">
        <v>234</v>
      </c>
      <c r="O443" s="9">
        <v>48227</v>
      </c>
      <c r="P443" s="9" t="s">
        <v>101</v>
      </c>
      <c r="Q443" s="9" t="s">
        <v>1543</v>
      </c>
      <c r="R443" s="9" t="s">
        <v>42</v>
      </c>
      <c r="S443" s="9" t="s">
        <v>55</v>
      </c>
      <c r="T443" s="9" t="s">
        <v>1544</v>
      </c>
      <c r="U443" s="11">
        <v>194.94</v>
      </c>
    </row>
    <row r="444" spans="1:21" x14ac:dyDescent="0.3">
      <c r="A444" s="4">
        <v>443</v>
      </c>
      <c r="B444" s="5" t="s">
        <v>1540</v>
      </c>
      <c r="C444" s="6">
        <v>42983</v>
      </c>
      <c r="D444" s="6" t="str">
        <f t="shared" si="18"/>
        <v>Sep</v>
      </c>
      <c r="E444" s="12">
        <f t="shared" si="19"/>
        <v>2017</v>
      </c>
      <c r="F444" s="6">
        <v>42985</v>
      </c>
      <c r="G444" s="12">
        <f t="shared" si="20"/>
        <v>2</v>
      </c>
      <c r="H444" s="5" t="s">
        <v>19</v>
      </c>
      <c r="I444" s="5" t="s">
        <v>107</v>
      </c>
      <c r="J444" s="5" t="s">
        <v>108</v>
      </c>
      <c r="K444" s="5" t="s">
        <v>22</v>
      </c>
      <c r="L444" s="5" t="s">
        <v>23</v>
      </c>
      <c r="M444" s="5" t="s">
        <v>878</v>
      </c>
      <c r="N444" s="5" t="s">
        <v>234</v>
      </c>
      <c r="O444" s="5">
        <v>48227</v>
      </c>
      <c r="P444" s="5" t="s">
        <v>101</v>
      </c>
      <c r="Q444" s="5" t="s">
        <v>1545</v>
      </c>
      <c r="R444" s="5" t="s">
        <v>42</v>
      </c>
      <c r="S444" s="5" t="s">
        <v>55</v>
      </c>
      <c r="T444" s="5" t="s">
        <v>1546</v>
      </c>
      <c r="U444" s="7">
        <v>70.95</v>
      </c>
    </row>
    <row r="445" spans="1:21" x14ac:dyDescent="0.3">
      <c r="A445" s="8">
        <v>444</v>
      </c>
      <c r="B445" s="9" t="s">
        <v>1540</v>
      </c>
      <c r="C445" s="10">
        <v>42983</v>
      </c>
      <c r="D445" s="6" t="str">
        <f t="shared" si="18"/>
        <v>Sep</v>
      </c>
      <c r="E445" s="12">
        <f t="shared" si="19"/>
        <v>2017</v>
      </c>
      <c r="F445" s="10">
        <v>42985</v>
      </c>
      <c r="G445" s="12">
        <f t="shared" si="20"/>
        <v>2</v>
      </c>
      <c r="H445" s="9" t="s">
        <v>19</v>
      </c>
      <c r="I445" s="9" t="s">
        <v>107</v>
      </c>
      <c r="J445" s="9" t="s">
        <v>108</v>
      </c>
      <c r="K445" s="9" t="s">
        <v>22</v>
      </c>
      <c r="L445" s="9" t="s">
        <v>23</v>
      </c>
      <c r="M445" s="9" t="s">
        <v>878</v>
      </c>
      <c r="N445" s="9" t="s">
        <v>234</v>
      </c>
      <c r="O445" s="9">
        <v>48227</v>
      </c>
      <c r="P445" s="9" t="s">
        <v>101</v>
      </c>
      <c r="Q445" s="9" t="s">
        <v>1547</v>
      </c>
      <c r="R445" s="9" t="s">
        <v>42</v>
      </c>
      <c r="S445" s="9" t="s">
        <v>86</v>
      </c>
      <c r="T445" s="9" t="s">
        <v>1548</v>
      </c>
      <c r="U445" s="11">
        <v>91.36</v>
      </c>
    </row>
    <row r="446" spans="1:21" x14ac:dyDescent="0.3">
      <c r="A446" s="4">
        <v>445</v>
      </c>
      <c r="B446" s="5" t="s">
        <v>1540</v>
      </c>
      <c r="C446" s="6">
        <v>42983</v>
      </c>
      <c r="D446" s="6" t="str">
        <f t="shared" si="18"/>
        <v>Sep</v>
      </c>
      <c r="E446" s="12">
        <f t="shared" si="19"/>
        <v>2017</v>
      </c>
      <c r="F446" s="6">
        <v>42985</v>
      </c>
      <c r="G446" s="12">
        <f t="shared" si="20"/>
        <v>2</v>
      </c>
      <c r="H446" s="5" t="s">
        <v>19</v>
      </c>
      <c r="I446" s="5" t="s">
        <v>107</v>
      </c>
      <c r="J446" s="5" t="s">
        <v>108</v>
      </c>
      <c r="K446" s="5" t="s">
        <v>22</v>
      </c>
      <c r="L446" s="5" t="s">
        <v>23</v>
      </c>
      <c r="M446" s="5" t="s">
        <v>878</v>
      </c>
      <c r="N446" s="5" t="s">
        <v>234</v>
      </c>
      <c r="O446" s="5">
        <v>48227</v>
      </c>
      <c r="P446" s="5" t="s">
        <v>101</v>
      </c>
      <c r="Q446" s="5" t="s">
        <v>1549</v>
      </c>
      <c r="R446" s="5" t="s">
        <v>28</v>
      </c>
      <c r="S446" s="5" t="s">
        <v>32</v>
      </c>
      <c r="T446" s="5" t="s">
        <v>1550</v>
      </c>
      <c r="U446" s="7">
        <v>242.94</v>
      </c>
    </row>
    <row r="447" spans="1:21" x14ac:dyDescent="0.3">
      <c r="A447" s="8">
        <v>446</v>
      </c>
      <c r="B447" s="9" t="s">
        <v>1540</v>
      </c>
      <c r="C447" s="10">
        <v>42983</v>
      </c>
      <c r="D447" s="6" t="str">
        <f t="shared" si="18"/>
        <v>Sep</v>
      </c>
      <c r="E447" s="12">
        <f t="shared" si="19"/>
        <v>2017</v>
      </c>
      <c r="F447" s="10">
        <v>42985</v>
      </c>
      <c r="G447" s="12">
        <f t="shared" si="20"/>
        <v>2</v>
      </c>
      <c r="H447" s="9" t="s">
        <v>19</v>
      </c>
      <c r="I447" s="9" t="s">
        <v>107</v>
      </c>
      <c r="J447" s="9" t="s">
        <v>108</v>
      </c>
      <c r="K447" s="9" t="s">
        <v>22</v>
      </c>
      <c r="L447" s="9" t="s">
        <v>23</v>
      </c>
      <c r="M447" s="9" t="s">
        <v>878</v>
      </c>
      <c r="N447" s="9" t="s">
        <v>234</v>
      </c>
      <c r="O447" s="9">
        <v>48227</v>
      </c>
      <c r="P447" s="9" t="s">
        <v>101</v>
      </c>
      <c r="Q447" s="9" t="s">
        <v>1551</v>
      </c>
      <c r="R447" s="9" t="s">
        <v>42</v>
      </c>
      <c r="S447" s="9" t="s">
        <v>43</v>
      </c>
      <c r="T447" s="9" t="s">
        <v>1552</v>
      </c>
      <c r="U447" s="11">
        <v>22.05</v>
      </c>
    </row>
    <row r="448" spans="1:21" x14ac:dyDescent="0.3">
      <c r="A448" s="4">
        <v>447</v>
      </c>
      <c r="B448" s="5" t="s">
        <v>1553</v>
      </c>
      <c r="C448" s="6">
        <v>43179</v>
      </c>
      <c r="D448" s="6" t="str">
        <f t="shared" si="18"/>
        <v>Mar</v>
      </c>
      <c r="E448" s="12">
        <f t="shared" si="19"/>
        <v>2018</v>
      </c>
      <c r="F448" s="6">
        <v>43184</v>
      </c>
      <c r="G448" s="12">
        <f t="shared" si="20"/>
        <v>5</v>
      </c>
      <c r="H448" s="5" t="s">
        <v>19</v>
      </c>
      <c r="I448" s="5" t="s">
        <v>1554</v>
      </c>
      <c r="J448" s="5" t="s">
        <v>1555</v>
      </c>
      <c r="K448" s="5" t="s">
        <v>22</v>
      </c>
      <c r="L448" s="5" t="s">
        <v>23</v>
      </c>
      <c r="M448" s="5" t="s">
        <v>493</v>
      </c>
      <c r="N448" s="5" t="s">
        <v>250</v>
      </c>
      <c r="O448" s="5">
        <v>47201</v>
      </c>
      <c r="P448" s="5" t="s">
        <v>101</v>
      </c>
      <c r="Q448" s="5" t="s">
        <v>1556</v>
      </c>
      <c r="R448" s="5" t="s">
        <v>28</v>
      </c>
      <c r="S448" s="5" t="s">
        <v>61</v>
      </c>
      <c r="T448" s="5" t="s">
        <v>1557</v>
      </c>
      <c r="U448" s="7">
        <v>2.91</v>
      </c>
    </row>
    <row r="449" spans="1:21" x14ac:dyDescent="0.3">
      <c r="A449" s="8">
        <v>448</v>
      </c>
      <c r="B449" s="9" t="s">
        <v>1558</v>
      </c>
      <c r="C449" s="10">
        <v>42826</v>
      </c>
      <c r="D449" s="6" t="str">
        <f t="shared" si="18"/>
        <v>Apr</v>
      </c>
      <c r="E449" s="12">
        <f t="shared" si="19"/>
        <v>2017</v>
      </c>
      <c r="F449" s="10">
        <v>42828</v>
      </c>
      <c r="G449" s="12">
        <f t="shared" si="20"/>
        <v>2</v>
      </c>
      <c r="H449" s="9" t="s">
        <v>19</v>
      </c>
      <c r="I449" s="9" t="s">
        <v>1559</v>
      </c>
      <c r="J449" s="9" t="s">
        <v>1560</v>
      </c>
      <c r="K449" s="9" t="s">
        <v>22</v>
      </c>
      <c r="L449" s="9" t="s">
        <v>23</v>
      </c>
      <c r="M449" s="9" t="s">
        <v>1561</v>
      </c>
      <c r="N449" s="9" t="s">
        <v>263</v>
      </c>
      <c r="O449" s="9">
        <v>13021</v>
      </c>
      <c r="P449" s="9" t="s">
        <v>144</v>
      </c>
      <c r="Q449" s="9" t="s">
        <v>1562</v>
      </c>
      <c r="R449" s="9" t="s">
        <v>42</v>
      </c>
      <c r="S449" s="9" t="s">
        <v>64</v>
      </c>
      <c r="T449" s="9" t="s">
        <v>1563</v>
      </c>
      <c r="U449" s="11">
        <v>59.52</v>
      </c>
    </row>
    <row r="450" spans="1:21" x14ac:dyDescent="0.3">
      <c r="A450" s="4">
        <v>449</v>
      </c>
      <c r="B450" s="5" t="s">
        <v>1558</v>
      </c>
      <c r="C450" s="6">
        <v>42826</v>
      </c>
      <c r="D450" s="6" t="str">
        <f t="shared" si="18"/>
        <v>Apr</v>
      </c>
      <c r="E450" s="12">
        <f t="shared" si="19"/>
        <v>2017</v>
      </c>
      <c r="F450" s="6">
        <v>42828</v>
      </c>
      <c r="G450" s="12">
        <f t="shared" si="20"/>
        <v>2</v>
      </c>
      <c r="H450" s="5" t="s">
        <v>19</v>
      </c>
      <c r="I450" s="5" t="s">
        <v>1559</v>
      </c>
      <c r="J450" s="5" t="s">
        <v>1560</v>
      </c>
      <c r="K450" s="5" t="s">
        <v>22</v>
      </c>
      <c r="L450" s="5" t="s">
        <v>23</v>
      </c>
      <c r="M450" s="5" t="s">
        <v>1561</v>
      </c>
      <c r="N450" s="5" t="s">
        <v>263</v>
      </c>
      <c r="O450" s="5">
        <v>13021</v>
      </c>
      <c r="P450" s="5" t="s">
        <v>144</v>
      </c>
      <c r="Q450" s="5" t="s">
        <v>1564</v>
      </c>
      <c r="R450" s="5" t="s">
        <v>42</v>
      </c>
      <c r="S450" s="5" t="s">
        <v>55</v>
      </c>
      <c r="T450" s="5" t="s">
        <v>1565</v>
      </c>
      <c r="U450" s="7">
        <v>161.94</v>
      </c>
    </row>
    <row r="451" spans="1:21" x14ac:dyDescent="0.3">
      <c r="A451" s="8">
        <v>450</v>
      </c>
      <c r="B451" s="9" t="s">
        <v>1558</v>
      </c>
      <c r="C451" s="10">
        <v>42826</v>
      </c>
      <c r="D451" s="6" t="str">
        <f t="shared" ref="D451:D500" si="21">TEXT(C451,"MMM")</f>
        <v>Apr</v>
      </c>
      <c r="E451" s="12">
        <f t="shared" ref="E451:E500" si="22">YEAR(C451)</f>
        <v>2017</v>
      </c>
      <c r="F451" s="10">
        <v>42828</v>
      </c>
      <c r="G451" s="12">
        <f t="shared" ref="G451:G500" si="23">DATEDIF(C451,F451,"D")</f>
        <v>2</v>
      </c>
      <c r="H451" s="9" t="s">
        <v>19</v>
      </c>
      <c r="I451" s="9" t="s">
        <v>1559</v>
      </c>
      <c r="J451" s="9" t="s">
        <v>1560</v>
      </c>
      <c r="K451" s="9" t="s">
        <v>22</v>
      </c>
      <c r="L451" s="9" t="s">
        <v>23</v>
      </c>
      <c r="M451" s="9" t="s">
        <v>1561</v>
      </c>
      <c r="N451" s="9" t="s">
        <v>263</v>
      </c>
      <c r="O451" s="9">
        <v>13021</v>
      </c>
      <c r="P451" s="9" t="s">
        <v>144</v>
      </c>
      <c r="Q451" s="9" t="s">
        <v>1566</v>
      </c>
      <c r="R451" s="9" t="s">
        <v>42</v>
      </c>
      <c r="S451" s="9" t="s">
        <v>64</v>
      </c>
      <c r="T451" s="9" t="s">
        <v>1567</v>
      </c>
      <c r="U451" s="11">
        <v>263.88</v>
      </c>
    </row>
    <row r="452" spans="1:21" x14ac:dyDescent="0.3">
      <c r="A452" s="4">
        <v>451</v>
      </c>
      <c r="B452" s="5" t="s">
        <v>1558</v>
      </c>
      <c r="C452" s="6">
        <v>42826</v>
      </c>
      <c r="D452" s="6" t="str">
        <f t="shared" si="21"/>
        <v>Apr</v>
      </c>
      <c r="E452" s="12">
        <f t="shared" si="22"/>
        <v>2017</v>
      </c>
      <c r="F452" s="6">
        <v>42828</v>
      </c>
      <c r="G452" s="12">
        <f t="shared" si="23"/>
        <v>2</v>
      </c>
      <c r="H452" s="5" t="s">
        <v>19</v>
      </c>
      <c r="I452" s="5" t="s">
        <v>1559</v>
      </c>
      <c r="J452" s="5" t="s">
        <v>1560</v>
      </c>
      <c r="K452" s="5" t="s">
        <v>22</v>
      </c>
      <c r="L452" s="5" t="s">
        <v>23</v>
      </c>
      <c r="M452" s="5" t="s">
        <v>1561</v>
      </c>
      <c r="N452" s="5" t="s">
        <v>263</v>
      </c>
      <c r="O452" s="5">
        <v>13021</v>
      </c>
      <c r="P452" s="5" t="s">
        <v>144</v>
      </c>
      <c r="Q452" s="5" t="s">
        <v>1568</v>
      </c>
      <c r="R452" s="5" t="s">
        <v>42</v>
      </c>
      <c r="S452" s="5" t="s">
        <v>64</v>
      </c>
      <c r="T452" s="5" t="s">
        <v>1569</v>
      </c>
      <c r="U452" s="7">
        <v>30.48</v>
      </c>
    </row>
    <row r="453" spans="1:21" x14ac:dyDescent="0.3">
      <c r="A453" s="8">
        <v>452</v>
      </c>
      <c r="B453" s="9" t="s">
        <v>1558</v>
      </c>
      <c r="C453" s="10">
        <v>42826</v>
      </c>
      <c r="D453" s="6" t="str">
        <f t="shared" si="21"/>
        <v>Apr</v>
      </c>
      <c r="E453" s="12">
        <f t="shared" si="22"/>
        <v>2017</v>
      </c>
      <c r="F453" s="10">
        <v>42828</v>
      </c>
      <c r="G453" s="12">
        <f t="shared" si="23"/>
        <v>2</v>
      </c>
      <c r="H453" s="9" t="s">
        <v>19</v>
      </c>
      <c r="I453" s="9" t="s">
        <v>1559</v>
      </c>
      <c r="J453" s="9" t="s">
        <v>1560</v>
      </c>
      <c r="K453" s="9" t="s">
        <v>22</v>
      </c>
      <c r="L453" s="9" t="s">
        <v>23</v>
      </c>
      <c r="M453" s="9" t="s">
        <v>1561</v>
      </c>
      <c r="N453" s="9" t="s">
        <v>263</v>
      </c>
      <c r="O453" s="9">
        <v>13021</v>
      </c>
      <c r="P453" s="9" t="s">
        <v>144</v>
      </c>
      <c r="Q453" s="9" t="s">
        <v>1570</v>
      </c>
      <c r="R453" s="9" t="s">
        <v>42</v>
      </c>
      <c r="S453" s="9" t="s">
        <v>64</v>
      </c>
      <c r="T453" s="9" t="s">
        <v>1571</v>
      </c>
      <c r="U453" s="11">
        <v>9.84</v>
      </c>
    </row>
    <row r="454" spans="1:21" x14ac:dyDescent="0.3">
      <c r="A454" s="4">
        <v>453</v>
      </c>
      <c r="B454" s="5" t="s">
        <v>1558</v>
      </c>
      <c r="C454" s="6">
        <v>42826</v>
      </c>
      <c r="D454" s="6" t="str">
        <f t="shared" si="21"/>
        <v>Apr</v>
      </c>
      <c r="E454" s="12">
        <f t="shared" si="22"/>
        <v>2017</v>
      </c>
      <c r="F454" s="6">
        <v>42828</v>
      </c>
      <c r="G454" s="12">
        <f t="shared" si="23"/>
        <v>2</v>
      </c>
      <c r="H454" s="5" t="s">
        <v>19</v>
      </c>
      <c r="I454" s="5" t="s">
        <v>1559</v>
      </c>
      <c r="J454" s="5" t="s">
        <v>1560</v>
      </c>
      <c r="K454" s="5" t="s">
        <v>22</v>
      </c>
      <c r="L454" s="5" t="s">
        <v>23</v>
      </c>
      <c r="M454" s="5" t="s">
        <v>1561</v>
      </c>
      <c r="N454" s="5" t="s">
        <v>263</v>
      </c>
      <c r="O454" s="5">
        <v>13021</v>
      </c>
      <c r="P454" s="5" t="s">
        <v>144</v>
      </c>
      <c r="Q454" s="5" t="s">
        <v>1572</v>
      </c>
      <c r="R454" s="5" t="s">
        <v>67</v>
      </c>
      <c r="S454" s="5" t="s">
        <v>68</v>
      </c>
      <c r="T454" s="5" t="s">
        <v>1573</v>
      </c>
      <c r="U454" s="7">
        <v>35.119999999999997</v>
      </c>
    </row>
    <row r="455" spans="1:21" x14ac:dyDescent="0.3">
      <c r="A455" s="8">
        <v>454</v>
      </c>
      <c r="B455" s="9" t="s">
        <v>1574</v>
      </c>
      <c r="C455" s="10">
        <v>43393</v>
      </c>
      <c r="D455" s="6" t="str">
        <f t="shared" si="21"/>
        <v>Oct</v>
      </c>
      <c r="E455" s="12">
        <f t="shared" si="22"/>
        <v>2018</v>
      </c>
      <c r="F455" s="10">
        <v>43397</v>
      </c>
      <c r="G455" s="12">
        <f t="shared" si="23"/>
        <v>4</v>
      </c>
      <c r="H455" s="9" t="s">
        <v>46</v>
      </c>
      <c r="I455" s="9" t="s">
        <v>1575</v>
      </c>
      <c r="J455" s="9" t="s">
        <v>1576</v>
      </c>
      <c r="K455" s="9" t="s">
        <v>37</v>
      </c>
      <c r="L455" s="9" t="s">
        <v>23</v>
      </c>
      <c r="M455" s="9" t="s">
        <v>799</v>
      </c>
      <c r="N455" s="9" t="s">
        <v>494</v>
      </c>
      <c r="O455" s="9">
        <v>44312</v>
      </c>
      <c r="P455" s="9" t="s">
        <v>144</v>
      </c>
      <c r="Q455" s="9" t="s">
        <v>76</v>
      </c>
      <c r="R455" s="9" t="s">
        <v>28</v>
      </c>
      <c r="S455" s="9" t="s">
        <v>52</v>
      </c>
      <c r="T455" s="9" t="s">
        <v>77</v>
      </c>
      <c r="U455" s="11">
        <v>284.36399999999998</v>
      </c>
    </row>
    <row r="456" spans="1:21" x14ac:dyDescent="0.3">
      <c r="A456" s="4">
        <v>455</v>
      </c>
      <c r="B456" s="5" t="s">
        <v>1574</v>
      </c>
      <c r="C456" s="6">
        <v>43393</v>
      </c>
      <c r="D456" s="6" t="str">
        <f t="shared" si="21"/>
        <v>Oct</v>
      </c>
      <c r="E456" s="12">
        <f t="shared" si="22"/>
        <v>2018</v>
      </c>
      <c r="F456" s="6">
        <v>43397</v>
      </c>
      <c r="G456" s="12">
        <f t="shared" si="23"/>
        <v>4</v>
      </c>
      <c r="H456" s="5" t="s">
        <v>46</v>
      </c>
      <c r="I456" s="5" t="s">
        <v>1575</v>
      </c>
      <c r="J456" s="5" t="s">
        <v>1576</v>
      </c>
      <c r="K456" s="5" t="s">
        <v>37</v>
      </c>
      <c r="L456" s="5" t="s">
        <v>23</v>
      </c>
      <c r="M456" s="5" t="s">
        <v>799</v>
      </c>
      <c r="N456" s="5" t="s">
        <v>494</v>
      </c>
      <c r="O456" s="5">
        <v>44312</v>
      </c>
      <c r="P456" s="5" t="s">
        <v>144</v>
      </c>
      <c r="Q456" s="5" t="s">
        <v>1577</v>
      </c>
      <c r="R456" s="5" t="s">
        <v>42</v>
      </c>
      <c r="S456" s="5" t="s">
        <v>55</v>
      </c>
      <c r="T456" s="5" t="s">
        <v>1578</v>
      </c>
      <c r="U456" s="7">
        <v>665.40800000000002</v>
      </c>
    </row>
    <row r="457" spans="1:21" x14ac:dyDescent="0.3">
      <c r="A457" s="8">
        <v>456</v>
      </c>
      <c r="B457" s="9" t="s">
        <v>1579</v>
      </c>
      <c r="C457" s="10">
        <v>43082</v>
      </c>
      <c r="D457" s="6" t="str">
        <f t="shared" si="21"/>
        <v>Dec</v>
      </c>
      <c r="E457" s="12">
        <f t="shared" si="22"/>
        <v>2017</v>
      </c>
      <c r="F457" s="10">
        <v>43086</v>
      </c>
      <c r="G457" s="12">
        <f t="shared" si="23"/>
        <v>4</v>
      </c>
      <c r="H457" s="9" t="s">
        <v>46</v>
      </c>
      <c r="I457" s="9" t="s">
        <v>1504</v>
      </c>
      <c r="J457" s="9" t="s">
        <v>1505</v>
      </c>
      <c r="K457" s="9" t="s">
        <v>37</v>
      </c>
      <c r="L457" s="9" t="s">
        <v>23</v>
      </c>
      <c r="M457" s="9" t="s">
        <v>1580</v>
      </c>
      <c r="N457" s="9" t="s">
        <v>646</v>
      </c>
      <c r="O457" s="9">
        <v>73071</v>
      </c>
      <c r="P457" s="9" t="s">
        <v>101</v>
      </c>
      <c r="Q457" s="9" t="s">
        <v>1581</v>
      </c>
      <c r="R457" s="9" t="s">
        <v>67</v>
      </c>
      <c r="S457" s="9" t="s">
        <v>157</v>
      </c>
      <c r="T457" s="9" t="s">
        <v>1582</v>
      </c>
      <c r="U457" s="11">
        <v>63.88</v>
      </c>
    </row>
    <row r="458" spans="1:21" x14ac:dyDescent="0.3">
      <c r="A458" s="4">
        <v>457</v>
      </c>
      <c r="B458" s="5" t="s">
        <v>1583</v>
      </c>
      <c r="C458" s="6">
        <v>42047</v>
      </c>
      <c r="D458" s="6" t="str">
        <f t="shared" si="21"/>
        <v>Feb</v>
      </c>
      <c r="E458" s="12">
        <f t="shared" si="22"/>
        <v>2015</v>
      </c>
      <c r="F458" s="6">
        <v>42053</v>
      </c>
      <c r="G458" s="12">
        <f t="shared" si="23"/>
        <v>6</v>
      </c>
      <c r="H458" s="5" t="s">
        <v>46</v>
      </c>
      <c r="I458" s="5" t="s">
        <v>1584</v>
      </c>
      <c r="J458" s="5" t="s">
        <v>1585</v>
      </c>
      <c r="K458" s="5" t="s">
        <v>22</v>
      </c>
      <c r="L458" s="5" t="s">
        <v>23</v>
      </c>
      <c r="M458" s="5" t="s">
        <v>83</v>
      </c>
      <c r="N458" s="5" t="s">
        <v>39</v>
      </c>
      <c r="O458" s="5">
        <v>94521</v>
      </c>
      <c r="P458" s="5" t="s">
        <v>40</v>
      </c>
      <c r="Q458" s="5" t="s">
        <v>1586</v>
      </c>
      <c r="R458" s="5" t="s">
        <v>28</v>
      </c>
      <c r="S458" s="5" t="s">
        <v>32</v>
      </c>
      <c r="T458" s="5" t="s">
        <v>1587</v>
      </c>
      <c r="U458" s="7">
        <v>129.56800000000001</v>
      </c>
    </row>
    <row r="459" spans="1:21" x14ac:dyDescent="0.3">
      <c r="A459" s="8">
        <v>458</v>
      </c>
      <c r="B459" s="9" t="s">
        <v>1588</v>
      </c>
      <c r="C459" s="10">
        <v>43004</v>
      </c>
      <c r="D459" s="6" t="str">
        <f t="shared" si="21"/>
        <v>Sep</v>
      </c>
      <c r="E459" s="12">
        <f t="shared" si="22"/>
        <v>2017</v>
      </c>
      <c r="F459" s="10">
        <v>43009</v>
      </c>
      <c r="G459" s="12">
        <f t="shared" si="23"/>
        <v>5</v>
      </c>
      <c r="H459" s="9" t="s">
        <v>46</v>
      </c>
      <c r="I459" s="9" t="s">
        <v>1486</v>
      </c>
      <c r="J459" s="9" t="s">
        <v>1487</v>
      </c>
      <c r="K459" s="9" t="s">
        <v>22</v>
      </c>
      <c r="L459" s="9" t="s">
        <v>23</v>
      </c>
      <c r="M459" s="9" t="s">
        <v>353</v>
      </c>
      <c r="N459" s="9" t="s">
        <v>207</v>
      </c>
      <c r="O459" s="9">
        <v>62521</v>
      </c>
      <c r="P459" s="9" t="s">
        <v>101</v>
      </c>
      <c r="Q459" s="9" t="s">
        <v>1589</v>
      </c>
      <c r="R459" s="9" t="s">
        <v>28</v>
      </c>
      <c r="S459" s="9" t="s">
        <v>32</v>
      </c>
      <c r="T459" s="9" t="s">
        <v>1590</v>
      </c>
      <c r="U459" s="11">
        <v>747.55799999999999</v>
      </c>
    </row>
    <row r="460" spans="1:21" x14ac:dyDescent="0.3">
      <c r="A460" s="4">
        <v>459</v>
      </c>
      <c r="B460" s="5" t="s">
        <v>1588</v>
      </c>
      <c r="C460" s="6">
        <v>43004</v>
      </c>
      <c r="D460" s="6" t="str">
        <f t="shared" si="21"/>
        <v>Sep</v>
      </c>
      <c r="E460" s="12">
        <f t="shared" si="22"/>
        <v>2017</v>
      </c>
      <c r="F460" s="6">
        <v>43009</v>
      </c>
      <c r="G460" s="12">
        <f t="shared" si="23"/>
        <v>5</v>
      </c>
      <c r="H460" s="5" t="s">
        <v>46</v>
      </c>
      <c r="I460" s="5" t="s">
        <v>1486</v>
      </c>
      <c r="J460" s="5" t="s">
        <v>1487</v>
      </c>
      <c r="K460" s="5" t="s">
        <v>22</v>
      </c>
      <c r="L460" s="5" t="s">
        <v>23</v>
      </c>
      <c r="M460" s="5" t="s">
        <v>353</v>
      </c>
      <c r="N460" s="5" t="s">
        <v>207</v>
      </c>
      <c r="O460" s="5">
        <v>62521</v>
      </c>
      <c r="P460" s="5" t="s">
        <v>101</v>
      </c>
      <c r="Q460" s="5" t="s">
        <v>1591</v>
      </c>
      <c r="R460" s="5" t="s">
        <v>42</v>
      </c>
      <c r="S460" s="5" t="s">
        <v>169</v>
      </c>
      <c r="T460" s="5" t="s">
        <v>667</v>
      </c>
      <c r="U460" s="7">
        <v>8.9280000000000008</v>
      </c>
    </row>
    <row r="461" spans="1:21" x14ac:dyDescent="0.3">
      <c r="A461" s="8">
        <v>460</v>
      </c>
      <c r="B461" s="9" t="s">
        <v>1592</v>
      </c>
      <c r="C461" s="10">
        <v>42719</v>
      </c>
      <c r="D461" s="6" t="str">
        <f t="shared" si="21"/>
        <v>Dec</v>
      </c>
      <c r="E461" s="12">
        <f t="shared" si="22"/>
        <v>2016</v>
      </c>
      <c r="F461" s="10">
        <v>42726</v>
      </c>
      <c r="G461" s="12">
        <f t="shared" si="23"/>
        <v>7</v>
      </c>
      <c r="H461" s="9" t="s">
        <v>46</v>
      </c>
      <c r="I461" s="9" t="s">
        <v>828</v>
      </c>
      <c r="J461" s="9" t="s">
        <v>829</v>
      </c>
      <c r="K461" s="9" t="s">
        <v>22</v>
      </c>
      <c r="L461" s="9" t="s">
        <v>23</v>
      </c>
      <c r="M461" s="9" t="s">
        <v>91</v>
      </c>
      <c r="N461" s="9" t="s">
        <v>92</v>
      </c>
      <c r="O461" s="9">
        <v>98115</v>
      </c>
      <c r="P461" s="9" t="s">
        <v>40</v>
      </c>
      <c r="Q461" s="9" t="s">
        <v>1593</v>
      </c>
      <c r="R461" s="9" t="s">
        <v>42</v>
      </c>
      <c r="S461" s="9" t="s">
        <v>74</v>
      </c>
      <c r="T461" s="9" t="s">
        <v>1594</v>
      </c>
      <c r="U461" s="11">
        <v>103.92</v>
      </c>
    </row>
    <row r="462" spans="1:21" x14ac:dyDescent="0.3">
      <c r="A462" s="4">
        <v>461</v>
      </c>
      <c r="B462" s="5" t="s">
        <v>1592</v>
      </c>
      <c r="C462" s="6">
        <v>42719</v>
      </c>
      <c r="D462" s="6" t="str">
        <f t="shared" si="21"/>
        <v>Dec</v>
      </c>
      <c r="E462" s="12">
        <f t="shared" si="22"/>
        <v>2016</v>
      </c>
      <c r="F462" s="6">
        <v>42726</v>
      </c>
      <c r="G462" s="12">
        <f t="shared" si="23"/>
        <v>7</v>
      </c>
      <c r="H462" s="5" t="s">
        <v>46</v>
      </c>
      <c r="I462" s="5" t="s">
        <v>828</v>
      </c>
      <c r="J462" s="5" t="s">
        <v>829</v>
      </c>
      <c r="K462" s="5" t="s">
        <v>22</v>
      </c>
      <c r="L462" s="5" t="s">
        <v>23</v>
      </c>
      <c r="M462" s="5" t="s">
        <v>91</v>
      </c>
      <c r="N462" s="5" t="s">
        <v>92</v>
      </c>
      <c r="O462" s="5">
        <v>98115</v>
      </c>
      <c r="P462" s="5" t="s">
        <v>40</v>
      </c>
      <c r="Q462" s="5" t="s">
        <v>1595</v>
      </c>
      <c r="R462" s="5" t="s">
        <v>67</v>
      </c>
      <c r="S462" s="5" t="s">
        <v>157</v>
      </c>
      <c r="T462" s="5" t="s">
        <v>1596</v>
      </c>
      <c r="U462" s="7">
        <v>899.91</v>
      </c>
    </row>
    <row r="463" spans="1:21" x14ac:dyDescent="0.3">
      <c r="A463" s="8">
        <v>462</v>
      </c>
      <c r="B463" s="9" t="s">
        <v>1592</v>
      </c>
      <c r="C463" s="10">
        <v>42719</v>
      </c>
      <c r="D463" s="6" t="str">
        <f t="shared" si="21"/>
        <v>Dec</v>
      </c>
      <c r="E463" s="12">
        <f t="shared" si="22"/>
        <v>2016</v>
      </c>
      <c r="F463" s="10">
        <v>42726</v>
      </c>
      <c r="G463" s="12">
        <f t="shared" si="23"/>
        <v>7</v>
      </c>
      <c r="H463" s="9" t="s">
        <v>46</v>
      </c>
      <c r="I463" s="9" t="s">
        <v>828</v>
      </c>
      <c r="J463" s="9" t="s">
        <v>829</v>
      </c>
      <c r="K463" s="9" t="s">
        <v>22</v>
      </c>
      <c r="L463" s="9" t="s">
        <v>23</v>
      </c>
      <c r="M463" s="9" t="s">
        <v>91</v>
      </c>
      <c r="N463" s="9" t="s">
        <v>92</v>
      </c>
      <c r="O463" s="9">
        <v>98115</v>
      </c>
      <c r="P463" s="9" t="s">
        <v>40</v>
      </c>
      <c r="Q463" s="9" t="s">
        <v>1597</v>
      </c>
      <c r="R463" s="9" t="s">
        <v>42</v>
      </c>
      <c r="S463" s="9" t="s">
        <v>71</v>
      </c>
      <c r="T463" s="9" t="s">
        <v>1598</v>
      </c>
      <c r="U463" s="11">
        <v>51.311999999999998</v>
      </c>
    </row>
    <row r="464" spans="1:21" x14ac:dyDescent="0.3">
      <c r="A464" s="4">
        <v>463</v>
      </c>
      <c r="B464" s="5" t="s">
        <v>1599</v>
      </c>
      <c r="C464" s="6">
        <v>42847</v>
      </c>
      <c r="D464" s="6" t="str">
        <f t="shared" si="21"/>
        <v>Apr</v>
      </c>
      <c r="E464" s="12">
        <f t="shared" si="22"/>
        <v>2017</v>
      </c>
      <c r="F464" s="6">
        <v>42854</v>
      </c>
      <c r="G464" s="12">
        <f t="shared" si="23"/>
        <v>7</v>
      </c>
      <c r="H464" s="5" t="s">
        <v>46</v>
      </c>
      <c r="I464" s="5" t="s">
        <v>1600</v>
      </c>
      <c r="J464" s="5" t="s">
        <v>1601</v>
      </c>
      <c r="K464" s="5" t="s">
        <v>98</v>
      </c>
      <c r="L464" s="5" t="s">
        <v>23</v>
      </c>
      <c r="M464" s="5" t="s">
        <v>540</v>
      </c>
      <c r="N464" s="5" t="s">
        <v>306</v>
      </c>
      <c r="O464" s="5">
        <v>85023</v>
      </c>
      <c r="P464" s="5" t="s">
        <v>40</v>
      </c>
      <c r="Q464" s="5" t="s">
        <v>1283</v>
      </c>
      <c r="R464" s="5" t="s">
        <v>28</v>
      </c>
      <c r="S464" s="5" t="s">
        <v>61</v>
      </c>
      <c r="T464" s="5" t="s">
        <v>1284</v>
      </c>
      <c r="U464" s="7">
        <v>23.56</v>
      </c>
    </row>
    <row r="465" spans="1:21" x14ac:dyDescent="0.3">
      <c r="A465" s="8">
        <v>464</v>
      </c>
      <c r="B465" s="9" t="s">
        <v>1599</v>
      </c>
      <c r="C465" s="10">
        <v>42847</v>
      </c>
      <c r="D465" s="6" t="str">
        <f t="shared" si="21"/>
        <v>Apr</v>
      </c>
      <c r="E465" s="12">
        <f t="shared" si="22"/>
        <v>2017</v>
      </c>
      <c r="F465" s="10">
        <v>42854</v>
      </c>
      <c r="G465" s="12">
        <f t="shared" si="23"/>
        <v>7</v>
      </c>
      <c r="H465" s="9" t="s">
        <v>46</v>
      </c>
      <c r="I465" s="9" t="s">
        <v>1600</v>
      </c>
      <c r="J465" s="9" t="s">
        <v>1601</v>
      </c>
      <c r="K465" s="9" t="s">
        <v>98</v>
      </c>
      <c r="L465" s="9" t="s">
        <v>23</v>
      </c>
      <c r="M465" s="9" t="s">
        <v>540</v>
      </c>
      <c r="N465" s="9" t="s">
        <v>306</v>
      </c>
      <c r="O465" s="9">
        <v>85023</v>
      </c>
      <c r="P465" s="9" t="s">
        <v>40</v>
      </c>
      <c r="Q465" s="9" t="s">
        <v>1602</v>
      </c>
      <c r="R465" s="9" t="s">
        <v>28</v>
      </c>
      <c r="S465" s="9" t="s">
        <v>52</v>
      </c>
      <c r="T465" s="9" t="s">
        <v>1603</v>
      </c>
      <c r="U465" s="11">
        <v>1272.6300000000001</v>
      </c>
    </row>
    <row r="466" spans="1:21" x14ac:dyDescent="0.3">
      <c r="A466" s="4">
        <v>465</v>
      </c>
      <c r="B466" s="5" t="s">
        <v>1599</v>
      </c>
      <c r="C466" s="6">
        <v>42847</v>
      </c>
      <c r="D466" s="6" t="str">
        <f t="shared" si="21"/>
        <v>Apr</v>
      </c>
      <c r="E466" s="12">
        <f t="shared" si="22"/>
        <v>2017</v>
      </c>
      <c r="F466" s="6">
        <v>42854</v>
      </c>
      <c r="G466" s="12">
        <f t="shared" si="23"/>
        <v>7</v>
      </c>
      <c r="H466" s="5" t="s">
        <v>46</v>
      </c>
      <c r="I466" s="5" t="s">
        <v>1600</v>
      </c>
      <c r="J466" s="5" t="s">
        <v>1601</v>
      </c>
      <c r="K466" s="5" t="s">
        <v>98</v>
      </c>
      <c r="L466" s="5" t="s">
        <v>23</v>
      </c>
      <c r="M466" s="5" t="s">
        <v>540</v>
      </c>
      <c r="N466" s="5" t="s">
        <v>306</v>
      </c>
      <c r="O466" s="5">
        <v>85023</v>
      </c>
      <c r="P466" s="5" t="s">
        <v>40</v>
      </c>
      <c r="Q466" s="5" t="s">
        <v>1604</v>
      </c>
      <c r="R466" s="5" t="s">
        <v>42</v>
      </c>
      <c r="S466" s="5" t="s">
        <v>71</v>
      </c>
      <c r="T466" s="5" t="s">
        <v>1605</v>
      </c>
      <c r="U466" s="7">
        <v>28.484999999999999</v>
      </c>
    </row>
    <row r="467" spans="1:21" x14ac:dyDescent="0.3">
      <c r="A467" s="8">
        <v>466</v>
      </c>
      <c r="B467" s="9" t="s">
        <v>1599</v>
      </c>
      <c r="C467" s="10">
        <v>42847</v>
      </c>
      <c r="D467" s="6" t="str">
        <f t="shared" si="21"/>
        <v>Apr</v>
      </c>
      <c r="E467" s="12">
        <f t="shared" si="22"/>
        <v>2017</v>
      </c>
      <c r="F467" s="10">
        <v>42854</v>
      </c>
      <c r="G467" s="12">
        <f t="shared" si="23"/>
        <v>7</v>
      </c>
      <c r="H467" s="9" t="s">
        <v>46</v>
      </c>
      <c r="I467" s="9" t="s">
        <v>1600</v>
      </c>
      <c r="J467" s="9" t="s">
        <v>1601</v>
      </c>
      <c r="K467" s="9" t="s">
        <v>98</v>
      </c>
      <c r="L467" s="9" t="s">
        <v>23</v>
      </c>
      <c r="M467" s="9" t="s">
        <v>540</v>
      </c>
      <c r="N467" s="9" t="s">
        <v>306</v>
      </c>
      <c r="O467" s="9">
        <v>85023</v>
      </c>
      <c r="P467" s="9" t="s">
        <v>40</v>
      </c>
      <c r="Q467" s="9" t="s">
        <v>1606</v>
      </c>
      <c r="R467" s="9" t="s">
        <v>42</v>
      </c>
      <c r="S467" s="9" t="s">
        <v>575</v>
      </c>
      <c r="T467" s="9" t="s">
        <v>1607</v>
      </c>
      <c r="U467" s="11">
        <v>185.376</v>
      </c>
    </row>
    <row r="468" spans="1:21" x14ac:dyDescent="0.3">
      <c r="A468" s="4">
        <v>467</v>
      </c>
      <c r="B468" s="5" t="s">
        <v>1599</v>
      </c>
      <c r="C468" s="6">
        <v>42847</v>
      </c>
      <c r="D468" s="6" t="str">
        <f t="shared" si="21"/>
        <v>Apr</v>
      </c>
      <c r="E468" s="12">
        <f t="shared" si="22"/>
        <v>2017</v>
      </c>
      <c r="F468" s="6">
        <v>42854</v>
      </c>
      <c r="G468" s="12">
        <f t="shared" si="23"/>
        <v>7</v>
      </c>
      <c r="H468" s="5" t="s">
        <v>46</v>
      </c>
      <c r="I468" s="5" t="s">
        <v>1600</v>
      </c>
      <c r="J468" s="5" t="s">
        <v>1601</v>
      </c>
      <c r="K468" s="5" t="s">
        <v>98</v>
      </c>
      <c r="L468" s="5" t="s">
        <v>23</v>
      </c>
      <c r="M468" s="5" t="s">
        <v>540</v>
      </c>
      <c r="N468" s="5" t="s">
        <v>306</v>
      </c>
      <c r="O468" s="5">
        <v>85023</v>
      </c>
      <c r="P468" s="5" t="s">
        <v>40</v>
      </c>
      <c r="Q468" s="5" t="s">
        <v>1608</v>
      </c>
      <c r="R468" s="5" t="s">
        <v>42</v>
      </c>
      <c r="S468" s="5" t="s">
        <v>74</v>
      </c>
      <c r="T468" s="5" t="s">
        <v>1609</v>
      </c>
      <c r="U468" s="7">
        <v>78.272000000000006</v>
      </c>
    </row>
    <row r="469" spans="1:21" x14ac:dyDescent="0.3">
      <c r="A469" s="8">
        <v>468</v>
      </c>
      <c r="B469" s="9" t="s">
        <v>1610</v>
      </c>
      <c r="C469" s="10">
        <v>42386</v>
      </c>
      <c r="D469" s="6" t="str">
        <f t="shared" si="21"/>
        <v>Jan</v>
      </c>
      <c r="E469" s="12">
        <f t="shared" si="22"/>
        <v>2016</v>
      </c>
      <c r="F469" s="10">
        <v>42393</v>
      </c>
      <c r="G469" s="12">
        <f t="shared" si="23"/>
        <v>7</v>
      </c>
      <c r="H469" s="9" t="s">
        <v>46</v>
      </c>
      <c r="I469" s="9" t="s">
        <v>1611</v>
      </c>
      <c r="J469" s="9" t="s">
        <v>1612</v>
      </c>
      <c r="K469" s="9" t="s">
        <v>98</v>
      </c>
      <c r="L469" s="9" t="s">
        <v>23</v>
      </c>
      <c r="M469" s="9" t="s">
        <v>1613</v>
      </c>
      <c r="N469" s="9" t="s">
        <v>207</v>
      </c>
      <c r="O469" s="9">
        <v>60068</v>
      </c>
      <c r="P469" s="9" t="s">
        <v>101</v>
      </c>
      <c r="Q469" s="9" t="s">
        <v>1085</v>
      </c>
      <c r="R469" s="9" t="s">
        <v>28</v>
      </c>
      <c r="S469" s="9" t="s">
        <v>61</v>
      </c>
      <c r="T469" s="9" t="s">
        <v>1086</v>
      </c>
      <c r="U469" s="11">
        <v>254.744</v>
      </c>
    </row>
    <row r="470" spans="1:21" x14ac:dyDescent="0.3">
      <c r="A470" s="4">
        <v>469</v>
      </c>
      <c r="B470" s="5" t="s">
        <v>1614</v>
      </c>
      <c r="C470" s="6">
        <v>43190</v>
      </c>
      <c r="D470" s="6" t="str">
        <f t="shared" si="21"/>
        <v>Mar</v>
      </c>
      <c r="E470" s="12">
        <f t="shared" si="22"/>
        <v>2018</v>
      </c>
      <c r="F470" s="6">
        <v>43194</v>
      </c>
      <c r="G470" s="12">
        <f t="shared" si="23"/>
        <v>4</v>
      </c>
      <c r="H470" s="5" t="s">
        <v>46</v>
      </c>
      <c r="I470" s="5" t="s">
        <v>876</v>
      </c>
      <c r="J470" s="5" t="s">
        <v>877</v>
      </c>
      <c r="K470" s="5" t="s">
        <v>37</v>
      </c>
      <c r="L470" s="5" t="s">
        <v>23</v>
      </c>
      <c r="M470" s="5" t="s">
        <v>1615</v>
      </c>
      <c r="N470" s="5" t="s">
        <v>100</v>
      </c>
      <c r="O470" s="5">
        <v>79109</v>
      </c>
      <c r="P470" s="5" t="s">
        <v>101</v>
      </c>
      <c r="Q470" s="5" t="s">
        <v>1616</v>
      </c>
      <c r="R470" s="5" t="s">
        <v>28</v>
      </c>
      <c r="S470" s="5" t="s">
        <v>29</v>
      </c>
      <c r="T470" s="5" t="s">
        <v>1617</v>
      </c>
      <c r="U470" s="7">
        <v>205.33279999999999</v>
      </c>
    </row>
    <row r="471" spans="1:21" x14ac:dyDescent="0.3">
      <c r="A471" s="8">
        <v>470</v>
      </c>
      <c r="B471" s="9" t="s">
        <v>1618</v>
      </c>
      <c r="C471" s="10">
        <v>43085</v>
      </c>
      <c r="D471" s="6" t="str">
        <f t="shared" si="21"/>
        <v>Dec</v>
      </c>
      <c r="E471" s="12">
        <f t="shared" si="22"/>
        <v>2017</v>
      </c>
      <c r="F471" s="10">
        <v>43089</v>
      </c>
      <c r="G471" s="12">
        <f t="shared" si="23"/>
        <v>4</v>
      </c>
      <c r="H471" s="9" t="s">
        <v>19</v>
      </c>
      <c r="I471" s="9" t="s">
        <v>964</v>
      </c>
      <c r="J471" s="9" t="s">
        <v>965</v>
      </c>
      <c r="K471" s="9" t="s">
        <v>22</v>
      </c>
      <c r="L471" s="9" t="s">
        <v>23</v>
      </c>
      <c r="M471" s="9" t="s">
        <v>299</v>
      </c>
      <c r="N471" s="9" t="s">
        <v>207</v>
      </c>
      <c r="O471" s="9">
        <v>60610</v>
      </c>
      <c r="P471" s="9" t="s">
        <v>101</v>
      </c>
      <c r="Q471" s="9" t="s">
        <v>1619</v>
      </c>
      <c r="R471" s="9" t="s">
        <v>42</v>
      </c>
      <c r="S471" s="9" t="s">
        <v>71</v>
      </c>
      <c r="T471" s="9" t="s">
        <v>1620</v>
      </c>
      <c r="U471" s="11">
        <v>4.7880000000000003</v>
      </c>
    </row>
    <row r="472" spans="1:21" x14ac:dyDescent="0.3">
      <c r="A472" s="4">
        <v>471</v>
      </c>
      <c r="B472" s="5" t="s">
        <v>1621</v>
      </c>
      <c r="C472" s="6">
        <v>42724</v>
      </c>
      <c r="D472" s="6" t="str">
        <f t="shared" si="21"/>
        <v>Dec</v>
      </c>
      <c r="E472" s="12">
        <f t="shared" si="22"/>
        <v>2016</v>
      </c>
      <c r="F472" s="6">
        <v>42728</v>
      </c>
      <c r="G472" s="12">
        <f t="shared" si="23"/>
        <v>4</v>
      </c>
      <c r="H472" s="5" t="s">
        <v>46</v>
      </c>
      <c r="I472" s="5" t="s">
        <v>1622</v>
      </c>
      <c r="J472" s="5" t="s">
        <v>1623</v>
      </c>
      <c r="K472" s="5" t="s">
        <v>37</v>
      </c>
      <c r="L472" s="5" t="s">
        <v>23</v>
      </c>
      <c r="M472" s="5" t="s">
        <v>1624</v>
      </c>
      <c r="N472" s="5" t="s">
        <v>263</v>
      </c>
      <c r="O472" s="5">
        <v>11757</v>
      </c>
      <c r="P472" s="5" t="s">
        <v>144</v>
      </c>
      <c r="Q472" s="5" t="s">
        <v>1625</v>
      </c>
      <c r="R472" s="5" t="s">
        <v>42</v>
      </c>
      <c r="S472" s="5" t="s">
        <v>86</v>
      </c>
      <c r="T472" s="5" t="s">
        <v>1626</v>
      </c>
      <c r="U472" s="7">
        <v>55.48</v>
      </c>
    </row>
    <row r="473" spans="1:21" x14ac:dyDescent="0.3">
      <c r="A473" s="8">
        <v>472</v>
      </c>
      <c r="B473" s="9" t="s">
        <v>1627</v>
      </c>
      <c r="C473" s="10">
        <v>42317</v>
      </c>
      <c r="D473" s="6" t="str">
        <f t="shared" si="21"/>
        <v>Nov</v>
      </c>
      <c r="E473" s="12">
        <f t="shared" si="22"/>
        <v>2015</v>
      </c>
      <c r="F473" s="10">
        <v>42319</v>
      </c>
      <c r="G473" s="12">
        <f t="shared" si="23"/>
        <v>2</v>
      </c>
      <c r="H473" s="9" t="s">
        <v>19</v>
      </c>
      <c r="I473" s="9" t="s">
        <v>1628</v>
      </c>
      <c r="J473" s="9" t="s">
        <v>1629</v>
      </c>
      <c r="K473" s="9" t="s">
        <v>22</v>
      </c>
      <c r="L473" s="9" t="s">
        <v>23</v>
      </c>
      <c r="M473" s="9" t="s">
        <v>123</v>
      </c>
      <c r="N473" s="9" t="s">
        <v>39</v>
      </c>
      <c r="O473" s="9">
        <v>94110</v>
      </c>
      <c r="P473" s="9" t="s">
        <v>40</v>
      </c>
      <c r="Q473" s="9" t="s">
        <v>1630</v>
      </c>
      <c r="R473" s="9" t="s">
        <v>42</v>
      </c>
      <c r="S473" s="9" t="s">
        <v>55</v>
      </c>
      <c r="T473" s="9" t="s">
        <v>1631</v>
      </c>
      <c r="U473" s="11">
        <v>340.92</v>
      </c>
    </row>
    <row r="474" spans="1:21" x14ac:dyDescent="0.3">
      <c r="A474" s="4">
        <v>473</v>
      </c>
      <c r="B474" s="5" t="s">
        <v>1627</v>
      </c>
      <c r="C474" s="6">
        <v>42317</v>
      </c>
      <c r="D474" s="6" t="str">
        <f t="shared" si="21"/>
        <v>Nov</v>
      </c>
      <c r="E474" s="12">
        <f t="shared" si="22"/>
        <v>2015</v>
      </c>
      <c r="F474" s="6">
        <v>42319</v>
      </c>
      <c r="G474" s="12">
        <f t="shared" si="23"/>
        <v>2</v>
      </c>
      <c r="H474" s="5" t="s">
        <v>19</v>
      </c>
      <c r="I474" s="5" t="s">
        <v>1628</v>
      </c>
      <c r="J474" s="5" t="s">
        <v>1629</v>
      </c>
      <c r="K474" s="5" t="s">
        <v>22</v>
      </c>
      <c r="L474" s="5" t="s">
        <v>23</v>
      </c>
      <c r="M474" s="5" t="s">
        <v>123</v>
      </c>
      <c r="N474" s="5" t="s">
        <v>39</v>
      </c>
      <c r="O474" s="5">
        <v>94110</v>
      </c>
      <c r="P474" s="5" t="s">
        <v>40</v>
      </c>
      <c r="Q474" s="5" t="s">
        <v>1632</v>
      </c>
      <c r="R474" s="5" t="s">
        <v>28</v>
      </c>
      <c r="S474" s="5" t="s">
        <v>29</v>
      </c>
      <c r="T474" s="5" t="s">
        <v>1633</v>
      </c>
      <c r="U474" s="7">
        <v>222.666</v>
      </c>
    </row>
    <row r="475" spans="1:21" x14ac:dyDescent="0.3">
      <c r="A475" s="8">
        <v>474</v>
      </c>
      <c r="B475" s="9" t="s">
        <v>1627</v>
      </c>
      <c r="C475" s="10">
        <v>42317</v>
      </c>
      <c r="D475" s="6" t="str">
        <f t="shared" si="21"/>
        <v>Nov</v>
      </c>
      <c r="E475" s="12">
        <f t="shared" si="22"/>
        <v>2015</v>
      </c>
      <c r="F475" s="10">
        <v>42319</v>
      </c>
      <c r="G475" s="12">
        <f t="shared" si="23"/>
        <v>2</v>
      </c>
      <c r="H475" s="9" t="s">
        <v>19</v>
      </c>
      <c r="I475" s="9" t="s">
        <v>1628</v>
      </c>
      <c r="J475" s="9" t="s">
        <v>1629</v>
      </c>
      <c r="K475" s="9" t="s">
        <v>22</v>
      </c>
      <c r="L475" s="9" t="s">
        <v>23</v>
      </c>
      <c r="M475" s="9" t="s">
        <v>123</v>
      </c>
      <c r="N475" s="9" t="s">
        <v>39</v>
      </c>
      <c r="O475" s="9">
        <v>94110</v>
      </c>
      <c r="P475" s="9" t="s">
        <v>40</v>
      </c>
      <c r="Q475" s="9" t="s">
        <v>1634</v>
      </c>
      <c r="R475" s="9" t="s">
        <v>67</v>
      </c>
      <c r="S475" s="9" t="s">
        <v>68</v>
      </c>
      <c r="T475" s="9" t="s">
        <v>1635</v>
      </c>
      <c r="U475" s="11">
        <v>703.96799999999996</v>
      </c>
    </row>
    <row r="476" spans="1:21" x14ac:dyDescent="0.3">
      <c r="A476" s="4">
        <v>475</v>
      </c>
      <c r="B476" s="5" t="s">
        <v>1627</v>
      </c>
      <c r="C476" s="6">
        <v>42317</v>
      </c>
      <c r="D476" s="6" t="str">
        <f t="shared" si="21"/>
        <v>Nov</v>
      </c>
      <c r="E476" s="12">
        <f t="shared" si="22"/>
        <v>2015</v>
      </c>
      <c r="F476" s="6">
        <v>42319</v>
      </c>
      <c r="G476" s="12">
        <f t="shared" si="23"/>
        <v>2</v>
      </c>
      <c r="H476" s="5" t="s">
        <v>19</v>
      </c>
      <c r="I476" s="5" t="s">
        <v>1628</v>
      </c>
      <c r="J476" s="5" t="s">
        <v>1629</v>
      </c>
      <c r="K476" s="5" t="s">
        <v>22</v>
      </c>
      <c r="L476" s="5" t="s">
        <v>23</v>
      </c>
      <c r="M476" s="5" t="s">
        <v>123</v>
      </c>
      <c r="N476" s="5" t="s">
        <v>39</v>
      </c>
      <c r="O476" s="5">
        <v>94110</v>
      </c>
      <c r="P476" s="5" t="s">
        <v>40</v>
      </c>
      <c r="Q476" s="5" t="s">
        <v>1636</v>
      </c>
      <c r="R476" s="5" t="s">
        <v>42</v>
      </c>
      <c r="S476" s="5" t="s">
        <v>55</v>
      </c>
      <c r="T476" s="5" t="s">
        <v>1637</v>
      </c>
      <c r="U476" s="7">
        <v>92.52</v>
      </c>
    </row>
    <row r="477" spans="1:21" x14ac:dyDescent="0.3">
      <c r="A477" s="8">
        <v>476</v>
      </c>
      <c r="B477" s="9" t="s">
        <v>1627</v>
      </c>
      <c r="C477" s="10">
        <v>42317</v>
      </c>
      <c r="D477" s="6" t="str">
        <f t="shared" si="21"/>
        <v>Nov</v>
      </c>
      <c r="E477" s="12">
        <f t="shared" si="22"/>
        <v>2015</v>
      </c>
      <c r="F477" s="10">
        <v>42319</v>
      </c>
      <c r="G477" s="12">
        <f t="shared" si="23"/>
        <v>2</v>
      </c>
      <c r="H477" s="9" t="s">
        <v>19</v>
      </c>
      <c r="I477" s="9" t="s">
        <v>1628</v>
      </c>
      <c r="J477" s="9" t="s">
        <v>1629</v>
      </c>
      <c r="K477" s="9" t="s">
        <v>22</v>
      </c>
      <c r="L477" s="9" t="s">
        <v>23</v>
      </c>
      <c r="M477" s="9" t="s">
        <v>123</v>
      </c>
      <c r="N477" s="9" t="s">
        <v>39</v>
      </c>
      <c r="O477" s="9">
        <v>94110</v>
      </c>
      <c r="P477" s="9" t="s">
        <v>40</v>
      </c>
      <c r="Q477" s="9" t="s">
        <v>1638</v>
      </c>
      <c r="R477" s="9" t="s">
        <v>42</v>
      </c>
      <c r="S477" s="9" t="s">
        <v>86</v>
      </c>
      <c r="T477" s="9" t="s">
        <v>1639</v>
      </c>
      <c r="U477" s="11">
        <v>62.65</v>
      </c>
    </row>
    <row r="478" spans="1:21" x14ac:dyDescent="0.3">
      <c r="A478" s="4">
        <v>477</v>
      </c>
      <c r="B478" s="5" t="s">
        <v>1627</v>
      </c>
      <c r="C478" s="6">
        <v>42317</v>
      </c>
      <c r="D478" s="6" t="str">
        <f t="shared" si="21"/>
        <v>Nov</v>
      </c>
      <c r="E478" s="12">
        <f t="shared" si="22"/>
        <v>2015</v>
      </c>
      <c r="F478" s="6">
        <v>42319</v>
      </c>
      <c r="G478" s="12">
        <f t="shared" si="23"/>
        <v>2</v>
      </c>
      <c r="H478" s="5" t="s">
        <v>19</v>
      </c>
      <c r="I478" s="5" t="s">
        <v>1628</v>
      </c>
      <c r="J478" s="5" t="s">
        <v>1629</v>
      </c>
      <c r="K478" s="5" t="s">
        <v>22</v>
      </c>
      <c r="L478" s="5" t="s">
        <v>23</v>
      </c>
      <c r="M478" s="5" t="s">
        <v>123</v>
      </c>
      <c r="N478" s="5" t="s">
        <v>39</v>
      </c>
      <c r="O478" s="5">
        <v>94110</v>
      </c>
      <c r="P478" s="5" t="s">
        <v>40</v>
      </c>
      <c r="Q478" s="5" t="s">
        <v>1640</v>
      </c>
      <c r="R478" s="5" t="s">
        <v>42</v>
      </c>
      <c r="S478" s="5" t="s">
        <v>86</v>
      </c>
      <c r="T478" s="5" t="s">
        <v>1641</v>
      </c>
      <c r="U478" s="7">
        <v>94.85</v>
      </c>
    </row>
    <row r="479" spans="1:21" x14ac:dyDescent="0.3">
      <c r="A479" s="8">
        <v>478</v>
      </c>
      <c r="B479" s="9" t="s">
        <v>1642</v>
      </c>
      <c r="C479" s="10">
        <v>42928</v>
      </c>
      <c r="D479" s="6" t="str">
        <f t="shared" si="21"/>
        <v>Jul</v>
      </c>
      <c r="E479" s="12">
        <f t="shared" si="22"/>
        <v>2017</v>
      </c>
      <c r="F479" s="10">
        <v>42935</v>
      </c>
      <c r="G479" s="12">
        <f t="shared" si="23"/>
        <v>7</v>
      </c>
      <c r="H479" s="9" t="s">
        <v>46</v>
      </c>
      <c r="I479" s="9" t="s">
        <v>1012</v>
      </c>
      <c r="J479" s="9" t="s">
        <v>1013</v>
      </c>
      <c r="K479" s="9" t="s">
        <v>37</v>
      </c>
      <c r="L479" s="9" t="s">
        <v>23</v>
      </c>
      <c r="M479" s="9" t="s">
        <v>38</v>
      </c>
      <c r="N479" s="9" t="s">
        <v>39</v>
      </c>
      <c r="O479" s="9">
        <v>90008</v>
      </c>
      <c r="P479" s="9" t="s">
        <v>40</v>
      </c>
      <c r="Q479" s="9" t="s">
        <v>1643</v>
      </c>
      <c r="R479" s="9" t="s">
        <v>67</v>
      </c>
      <c r="S479" s="9" t="s">
        <v>68</v>
      </c>
      <c r="T479" s="9" t="s">
        <v>1644</v>
      </c>
      <c r="U479" s="11">
        <v>95.76</v>
      </c>
    </row>
    <row r="480" spans="1:21" x14ac:dyDescent="0.3">
      <c r="A480" s="4">
        <v>479</v>
      </c>
      <c r="B480" s="5" t="s">
        <v>1645</v>
      </c>
      <c r="C480" s="6">
        <v>43035</v>
      </c>
      <c r="D480" s="6" t="str">
        <f t="shared" si="21"/>
        <v>Oct</v>
      </c>
      <c r="E480" s="12">
        <f t="shared" si="22"/>
        <v>2017</v>
      </c>
      <c r="F480" s="6">
        <v>43041</v>
      </c>
      <c r="G480" s="12">
        <f t="shared" si="23"/>
        <v>6</v>
      </c>
      <c r="H480" s="5" t="s">
        <v>46</v>
      </c>
      <c r="I480" s="5" t="s">
        <v>1646</v>
      </c>
      <c r="J480" s="5" t="s">
        <v>1647</v>
      </c>
      <c r="K480" s="5" t="s">
        <v>22</v>
      </c>
      <c r="L480" s="5" t="s">
        <v>23</v>
      </c>
      <c r="M480" s="5" t="s">
        <v>272</v>
      </c>
      <c r="N480" s="5" t="s">
        <v>263</v>
      </c>
      <c r="O480" s="5">
        <v>12180</v>
      </c>
      <c r="P480" s="5" t="s">
        <v>144</v>
      </c>
      <c r="Q480" s="5" t="s">
        <v>1109</v>
      </c>
      <c r="R480" s="5" t="s">
        <v>28</v>
      </c>
      <c r="S480" s="5" t="s">
        <v>61</v>
      </c>
      <c r="T480" s="5" t="s">
        <v>1110</v>
      </c>
      <c r="U480" s="7">
        <v>40.200000000000003</v>
      </c>
    </row>
    <row r="481" spans="1:21" x14ac:dyDescent="0.3">
      <c r="A481" s="8">
        <v>480</v>
      </c>
      <c r="B481" s="9" t="s">
        <v>1648</v>
      </c>
      <c r="C481" s="10">
        <v>42912</v>
      </c>
      <c r="D481" s="6" t="str">
        <f t="shared" si="21"/>
        <v>Jun</v>
      </c>
      <c r="E481" s="12">
        <f t="shared" si="22"/>
        <v>2017</v>
      </c>
      <c r="F481" s="10">
        <v>42918</v>
      </c>
      <c r="G481" s="12">
        <f t="shared" si="23"/>
        <v>6</v>
      </c>
      <c r="H481" s="9" t="s">
        <v>46</v>
      </c>
      <c r="I481" s="9" t="s">
        <v>1649</v>
      </c>
      <c r="J481" s="9" t="s">
        <v>1650</v>
      </c>
      <c r="K481" s="9" t="s">
        <v>37</v>
      </c>
      <c r="L481" s="9" t="s">
        <v>23</v>
      </c>
      <c r="M481" s="9" t="s">
        <v>262</v>
      </c>
      <c r="N481" s="9" t="s">
        <v>263</v>
      </c>
      <c r="O481" s="9">
        <v>10024</v>
      </c>
      <c r="P481" s="9" t="s">
        <v>144</v>
      </c>
      <c r="Q481" s="9" t="s">
        <v>1651</v>
      </c>
      <c r="R481" s="9" t="s">
        <v>42</v>
      </c>
      <c r="S481" s="9" t="s">
        <v>64</v>
      </c>
      <c r="T481" s="9" t="s">
        <v>1652</v>
      </c>
      <c r="U481" s="11">
        <v>14.7</v>
      </c>
    </row>
    <row r="482" spans="1:21" x14ac:dyDescent="0.3">
      <c r="A482" s="4">
        <v>481</v>
      </c>
      <c r="B482" s="5" t="s">
        <v>1648</v>
      </c>
      <c r="C482" s="6">
        <v>42912</v>
      </c>
      <c r="D482" s="6" t="str">
        <f t="shared" si="21"/>
        <v>Jun</v>
      </c>
      <c r="E482" s="12">
        <f t="shared" si="22"/>
        <v>2017</v>
      </c>
      <c r="F482" s="6">
        <v>42918</v>
      </c>
      <c r="G482" s="12">
        <f t="shared" si="23"/>
        <v>6</v>
      </c>
      <c r="H482" s="5" t="s">
        <v>46</v>
      </c>
      <c r="I482" s="5" t="s">
        <v>1649</v>
      </c>
      <c r="J482" s="5" t="s">
        <v>1650</v>
      </c>
      <c r="K482" s="5" t="s">
        <v>37</v>
      </c>
      <c r="L482" s="5" t="s">
        <v>23</v>
      </c>
      <c r="M482" s="5" t="s">
        <v>262</v>
      </c>
      <c r="N482" s="5" t="s">
        <v>263</v>
      </c>
      <c r="O482" s="5">
        <v>10024</v>
      </c>
      <c r="P482" s="5" t="s">
        <v>144</v>
      </c>
      <c r="Q482" s="5" t="s">
        <v>1653</v>
      </c>
      <c r="R482" s="5" t="s">
        <v>42</v>
      </c>
      <c r="S482" s="5" t="s">
        <v>55</v>
      </c>
      <c r="T482" s="5" t="s">
        <v>1654</v>
      </c>
      <c r="U482" s="7">
        <v>704.25</v>
      </c>
    </row>
    <row r="483" spans="1:21" x14ac:dyDescent="0.3">
      <c r="A483" s="8">
        <v>482</v>
      </c>
      <c r="B483" s="9" t="s">
        <v>1655</v>
      </c>
      <c r="C483" s="10">
        <v>42283</v>
      </c>
      <c r="D483" s="6" t="str">
        <f t="shared" si="21"/>
        <v>Oct</v>
      </c>
      <c r="E483" s="12">
        <f t="shared" si="22"/>
        <v>2015</v>
      </c>
      <c r="F483" s="10">
        <v>42287</v>
      </c>
      <c r="G483" s="12">
        <f t="shared" si="23"/>
        <v>4</v>
      </c>
      <c r="H483" s="9" t="s">
        <v>46</v>
      </c>
      <c r="I483" s="9" t="s">
        <v>1656</v>
      </c>
      <c r="J483" s="9" t="s">
        <v>1657</v>
      </c>
      <c r="K483" s="9" t="s">
        <v>22</v>
      </c>
      <c r="L483" s="9" t="s">
        <v>23</v>
      </c>
      <c r="M483" s="9" t="s">
        <v>946</v>
      </c>
      <c r="N483" s="9" t="s">
        <v>39</v>
      </c>
      <c r="O483" s="9">
        <v>92024</v>
      </c>
      <c r="P483" s="9" t="s">
        <v>40</v>
      </c>
      <c r="Q483" s="9" t="s">
        <v>1658</v>
      </c>
      <c r="R483" s="9" t="s">
        <v>67</v>
      </c>
      <c r="S483" s="9" t="s">
        <v>157</v>
      </c>
      <c r="T483" s="9" t="s">
        <v>1659</v>
      </c>
      <c r="U483" s="11">
        <v>9.09</v>
      </c>
    </row>
    <row r="484" spans="1:21" x14ac:dyDescent="0.3">
      <c r="A484" s="4">
        <v>483</v>
      </c>
      <c r="B484" s="5" t="s">
        <v>1660</v>
      </c>
      <c r="C484" s="6">
        <v>42207</v>
      </c>
      <c r="D484" s="6" t="str">
        <f t="shared" si="21"/>
        <v>Jul</v>
      </c>
      <c r="E484" s="12">
        <f t="shared" si="22"/>
        <v>2015</v>
      </c>
      <c r="F484" s="6">
        <v>42212</v>
      </c>
      <c r="G484" s="12">
        <f t="shared" si="23"/>
        <v>5</v>
      </c>
      <c r="H484" s="5" t="s">
        <v>46</v>
      </c>
      <c r="I484" s="5" t="s">
        <v>1661</v>
      </c>
      <c r="J484" s="5" t="s">
        <v>1662</v>
      </c>
      <c r="K484" s="5" t="s">
        <v>22</v>
      </c>
      <c r="L484" s="5" t="s">
        <v>23</v>
      </c>
      <c r="M484" s="5" t="s">
        <v>262</v>
      </c>
      <c r="N484" s="5" t="s">
        <v>263</v>
      </c>
      <c r="O484" s="5">
        <v>10024</v>
      </c>
      <c r="P484" s="5" t="s">
        <v>144</v>
      </c>
      <c r="Q484" s="5" t="s">
        <v>362</v>
      </c>
      <c r="R484" s="5" t="s">
        <v>42</v>
      </c>
      <c r="S484" s="5" t="s">
        <v>64</v>
      </c>
      <c r="T484" s="5" t="s">
        <v>363</v>
      </c>
      <c r="U484" s="7">
        <v>5.96</v>
      </c>
    </row>
    <row r="485" spans="1:21" x14ac:dyDescent="0.3">
      <c r="A485" s="8">
        <v>484</v>
      </c>
      <c r="B485" s="9" t="s">
        <v>1660</v>
      </c>
      <c r="C485" s="10">
        <v>42207</v>
      </c>
      <c r="D485" s="6" t="str">
        <f t="shared" si="21"/>
        <v>Jul</v>
      </c>
      <c r="E485" s="12">
        <f t="shared" si="22"/>
        <v>2015</v>
      </c>
      <c r="F485" s="10">
        <v>42212</v>
      </c>
      <c r="G485" s="12">
        <f t="shared" si="23"/>
        <v>5</v>
      </c>
      <c r="H485" s="9" t="s">
        <v>46</v>
      </c>
      <c r="I485" s="9" t="s">
        <v>1661</v>
      </c>
      <c r="J485" s="9" t="s">
        <v>1662</v>
      </c>
      <c r="K485" s="9" t="s">
        <v>22</v>
      </c>
      <c r="L485" s="9" t="s">
        <v>23</v>
      </c>
      <c r="M485" s="9" t="s">
        <v>262</v>
      </c>
      <c r="N485" s="9" t="s">
        <v>263</v>
      </c>
      <c r="O485" s="9">
        <v>10024</v>
      </c>
      <c r="P485" s="9" t="s">
        <v>144</v>
      </c>
      <c r="Q485" s="9" t="s">
        <v>1663</v>
      </c>
      <c r="R485" s="9" t="s">
        <v>67</v>
      </c>
      <c r="S485" s="9" t="s">
        <v>157</v>
      </c>
      <c r="T485" s="9" t="s">
        <v>1664</v>
      </c>
      <c r="U485" s="11">
        <v>159.97999999999999</v>
      </c>
    </row>
    <row r="486" spans="1:21" x14ac:dyDescent="0.3">
      <c r="A486" s="4">
        <v>485</v>
      </c>
      <c r="B486" s="5" t="s">
        <v>1665</v>
      </c>
      <c r="C486" s="6">
        <v>43261</v>
      </c>
      <c r="D486" s="6" t="str">
        <f t="shared" si="21"/>
        <v>Jun</v>
      </c>
      <c r="E486" s="12">
        <f t="shared" si="22"/>
        <v>2018</v>
      </c>
      <c r="F486" s="6">
        <v>43264</v>
      </c>
      <c r="G486" s="12">
        <f t="shared" si="23"/>
        <v>3</v>
      </c>
      <c r="H486" s="5" t="s">
        <v>184</v>
      </c>
      <c r="I486" s="5" t="s">
        <v>1666</v>
      </c>
      <c r="J486" s="5" t="s">
        <v>1667</v>
      </c>
      <c r="K486" s="5" t="s">
        <v>98</v>
      </c>
      <c r="L486" s="5" t="s">
        <v>23</v>
      </c>
      <c r="M486" s="5" t="s">
        <v>38</v>
      </c>
      <c r="N486" s="5" t="s">
        <v>39</v>
      </c>
      <c r="O486" s="5">
        <v>90045</v>
      </c>
      <c r="P486" s="5" t="s">
        <v>40</v>
      </c>
      <c r="Q486" s="5" t="s">
        <v>1668</v>
      </c>
      <c r="R486" s="5" t="s">
        <v>42</v>
      </c>
      <c r="S486" s="5" t="s">
        <v>43</v>
      </c>
      <c r="T486" s="5" t="s">
        <v>1669</v>
      </c>
      <c r="U486" s="7">
        <v>29.6</v>
      </c>
    </row>
    <row r="487" spans="1:21" x14ac:dyDescent="0.3">
      <c r="A487" s="8">
        <v>486</v>
      </c>
      <c r="B487" s="9" t="s">
        <v>1665</v>
      </c>
      <c r="C487" s="10">
        <v>43261</v>
      </c>
      <c r="D487" s="6" t="str">
        <f t="shared" si="21"/>
        <v>Jun</v>
      </c>
      <c r="E487" s="12">
        <f t="shared" si="22"/>
        <v>2018</v>
      </c>
      <c r="F487" s="10">
        <v>43264</v>
      </c>
      <c r="G487" s="12">
        <f t="shared" si="23"/>
        <v>3</v>
      </c>
      <c r="H487" s="9" t="s">
        <v>184</v>
      </c>
      <c r="I487" s="9" t="s">
        <v>1666</v>
      </c>
      <c r="J487" s="9" t="s">
        <v>1667</v>
      </c>
      <c r="K487" s="9" t="s">
        <v>98</v>
      </c>
      <c r="L487" s="9" t="s">
        <v>23</v>
      </c>
      <c r="M487" s="9" t="s">
        <v>38</v>
      </c>
      <c r="N487" s="9" t="s">
        <v>39</v>
      </c>
      <c r="O487" s="9">
        <v>90045</v>
      </c>
      <c r="P487" s="9" t="s">
        <v>40</v>
      </c>
      <c r="Q487" s="9" t="s">
        <v>1670</v>
      </c>
      <c r="R487" s="9" t="s">
        <v>28</v>
      </c>
      <c r="S487" s="9" t="s">
        <v>29</v>
      </c>
      <c r="T487" s="9" t="s">
        <v>1671</v>
      </c>
      <c r="U487" s="11">
        <v>514.16499999999996</v>
      </c>
    </row>
    <row r="488" spans="1:21" x14ac:dyDescent="0.3">
      <c r="A488" s="4">
        <v>487</v>
      </c>
      <c r="B488" s="5" t="s">
        <v>1665</v>
      </c>
      <c r="C488" s="6">
        <v>43261</v>
      </c>
      <c r="D488" s="6" t="str">
        <f t="shared" si="21"/>
        <v>Jun</v>
      </c>
      <c r="E488" s="12">
        <f t="shared" si="22"/>
        <v>2018</v>
      </c>
      <c r="F488" s="6">
        <v>43264</v>
      </c>
      <c r="G488" s="12">
        <f t="shared" si="23"/>
        <v>3</v>
      </c>
      <c r="H488" s="5" t="s">
        <v>184</v>
      </c>
      <c r="I488" s="5" t="s">
        <v>1666</v>
      </c>
      <c r="J488" s="5" t="s">
        <v>1667</v>
      </c>
      <c r="K488" s="5" t="s">
        <v>98</v>
      </c>
      <c r="L488" s="5" t="s">
        <v>23</v>
      </c>
      <c r="M488" s="5" t="s">
        <v>38</v>
      </c>
      <c r="N488" s="5" t="s">
        <v>39</v>
      </c>
      <c r="O488" s="5">
        <v>90045</v>
      </c>
      <c r="P488" s="5" t="s">
        <v>40</v>
      </c>
      <c r="Q488" s="5" t="s">
        <v>1672</v>
      </c>
      <c r="R488" s="5" t="s">
        <v>67</v>
      </c>
      <c r="S488" s="5" t="s">
        <v>68</v>
      </c>
      <c r="T488" s="5" t="s">
        <v>1673</v>
      </c>
      <c r="U488" s="7">
        <v>279.95999999999998</v>
      </c>
    </row>
    <row r="489" spans="1:21" x14ac:dyDescent="0.3">
      <c r="A489" s="8">
        <v>488</v>
      </c>
      <c r="B489" s="9" t="s">
        <v>1674</v>
      </c>
      <c r="C489" s="10">
        <v>42306</v>
      </c>
      <c r="D489" s="6" t="str">
        <f t="shared" si="21"/>
        <v>Oct</v>
      </c>
      <c r="E489" s="12">
        <f t="shared" si="22"/>
        <v>2015</v>
      </c>
      <c r="F489" s="10">
        <v>42308</v>
      </c>
      <c r="G489" s="12">
        <f t="shared" si="23"/>
        <v>2</v>
      </c>
      <c r="H489" s="9" t="s">
        <v>184</v>
      </c>
      <c r="I489" s="9" t="s">
        <v>1675</v>
      </c>
      <c r="J489" s="9" t="s">
        <v>1676</v>
      </c>
      <c r="K489" s="9" t="s">
        <v>22</v>
      </c>
      <c r="L489" s="9" t="s">
        <v>23</v>
      </c>
      <c r="M489" s="9" t="s">
        <v>299</v>
      </c>
      <c r="N489" s="9" t="s">
        <v>207</v>
      </c>
      <c r="O489" s="9">
        <v>60610</v>
      </c>
      <c r="P489" s="9" t="s">
        <v>101</v>
      </c>
      <c r="Q489" s="9" t="s">
        <v>1677</v>
      </c>
      <c r="R489" s="9" t="s">
        <v>67</v>
      </c>
      <c r="S489" s="9" t="s">
        <v>68</v>
      </c>
      <c r="T489" s="9" t="s">
        <v>1678</v>
      </c>
      <c r="U489" s="11">
        <v>2735.9520000000002</v>
      </c>
    </row>
    <row r="490" spans="1:21" x14ac:dyDescent="0.3">
      <c r="A490" s="4">
        <v>489</v>
      </c>
      <c r="B490" s="5" t="s">
        <v>1679</v>
      </c>
      <c r="C490" s="6">
        <v>42164</v>
      </c>
      <c r="D490" s="6" t="str">
        <f t="shared" si="21"/>
        <v>Jun</v>
      </c>
      <c r="E490" s="12">
        <f t="shared" si="22"/>
        <v>2015</v>
      </c>
      <c r="F490" s="6">
        <v>42168</v>
      </c>
      <c r="G490" s="12">
        <f t="shared" si="23"/>
        <v>4</v>
      </c>
      <c r="H490" s="5" t="s">
        <v>19</v>
      </c>
      <c r="I490" s="5" t="s">
        <v>1680</v>
      </c>
      <c r="J490" s="5" t="s">
        <v>1681</v>
      </c>
      <c r="K490" s="5" t="s">
        <v>98</v>
      </c>
      <c r="L490" s="5" t="s">
        <v>23</v>
      </c>
      <c r="M490" s="5" t="s">
        <v>1682</v>
      </c>
      <c r="N490" s="5" t="s">
        <v>100</v>
      </c>
      <c r="O490" s="5">
        <v>77340</v>
      </c>
      <c r="P490" s="5" t="s">
        <v>101</v>
      </c>
      <c r="Q490" s="5" t="s">
        <v>1683</v>
      </c>
      <c r="R490" s="5" t="s">
        <v>67</v>
      </c>
      <c r="S490" s="5" t="s">
        <v>68</v>
      </c>
      <c r="T490" s="5" t="s">
        <v>1684</v>
      </c>
      <c r="U490" s="7">
        <v>7.992</v>
      </c>
    </row>
    <row r="491" spans="1:21" x14ac:dyDescent="0.3">
      <c r="A491" s="8">
        <v>490</v>
      </c>
      <c r="B491" s="9" t="s">
        <v>1679</v>
      </c>
      <c r="C491" s="10">
        <v>42164</v>
      </c>
      <c r="D491" s="6" t="str">
        <f t="shared" si="21"/>
        <v>Jun</v>
      </c>
      <c r="E491" s="12">
        <f t="shared" si="22"/>
        <v>2015</v>
      </c>
      <c r="F491" s="10">
        <v>42168</v>
      </c>
      <c r="G491" s="12">
        <f t="shared" si="23"/>
        <v>4</v>
      </c>
      <c r="H491" s="9" t="s">
        <v>19</v>
      </c>
      <c r="I491" s="9" t="s">
        <v>1680</v>
      </c>
      <c r="J491" s="9" t="s">
        <v>1681</v>
      </c>
      <c r="K491" s="9" t="s">
        <v>98</v>
      </c>
      <c r="L491" s="9" t="s">
        <v>23</v>
      </c>
      <c r="M491" s="9" t="s">
        <v>1682</v>
      </c>
      <c r="N491" s="9" t="s">
        <v>100</v>
      </c>
      <c r="O491" s="9">
        <v>77340</v>
      </c>
      <c r="P491" s="9" t="s">
        <v>101</v>
      </c>
      <c r="Q491" s="9" t="s">
        <v>1685</v>
      </c>
      <c r="R491" s="9" t="s">
        <v>67</v>
      </c>
      <c r="S491" s="9" t="s">
        <v>157</v>
      </c>
      <c r="T491" s="9" t="s">
        <v>1686</v>
      </c>
      <c r="U491" s="11">
        <v>63.984000000000002</v>
      </c>
    </row>
    <row r="492" spans="1:21" x14ac:dyDescent="0.3">
      <c r="A492" s="4">
        <v>491</v>
      </c>
      <c r="B492" s="5" t="s">
        <v>1679</v>
      </c>
      <c r="C492" s="6">
        <v>42164</v>
      </c>
      <c r="D492" s="6" t="str">
        <f t="shared" si="21"/>
        <v>Jun</v>
      </c>
      <c r="E492" s="12">
        <f t="shared" si="22"/>
        <v>2015</v>
      </c>
      <c r="F492" s="6">
        <v>42168</v>
      </c>
      <c r="G492" s="12">
        <f t="shared" si="23"/>
        <v>4</v>
      </c>
      <c r="H492" s="5" t="s">
        <v>19</v>
      </c>
      <c r="I492" s="5" t="s">
        <v>1680</v>
      </c>
      <c r="J492" s="5" t="s">
        <v>1681</v>
      </c>
      <c r="K492" s="5" t="s">
        <v>98</v>
      </c>
      <c r="L492" s="5" t="s">
        <v>23</v>
      </c>
      <c r="M492" s="5" t="s">
        <v>1682</v>
      </c>
      <c r="N492" s="5" t="s">
        <v>100</v>
      </c>
      <c r="O492" s="5">
        <v>77340</v>
      </c>
      <c r="P492" s="5" t="s">
        <v>101</v>
      </c>
      <c r="Q492" s="5" t="s">
        <v>1566</v>
      </c>
      <c r="R492" s="5" t="s">
        <v>42</v>
      </c>
      <c r="S492" s="5" t="s">
        <v>64</v>
      </c>
      <c r="T492" s="5" t="s">
        <v>1567</v>
      </c>
      <c r="U492" s="7">
        <v>70.367999999999995</v>
      </c>
    </row>
    <row r="493" spans="1:21" x14ac:dyDescent="0.3">
      <c r="A493" s="8">
        <v>492</v>
      </c>
      <c r="B493" s="9" t="s">
        <v>1687</v>
      </c>
      <c r="C493" s="10">
        <v>42261</v>
      </c>
      <c r="D493" s="6" t="str">
        <f t="shared" si="21"/>
        <v>Sep</v>
      </c>
      <c r="E493" s="12">
        <f t="shared" si="22"/>
        <v>2015</v>
      </c>
      <c r="F493" s="10">
        <v>42266</v>
      </c>
      <c r="G493" s="12">
        <f t="shared" si="23"/>
        <v>5</v>
      </c>
      <c r="H493" s="9" t="s">
        <v>46</v>
      </c>
      <c r="I493" s="9" t="s">
        <v>1688</v>
      </c>
      <c r="J493" s="9" t="s">
        <v>1689</v>
      </c>
      <c r="K493" s="9" t="s">
        <v>22</v>
      </c>
      <c r="L493" s="9" t="s">
        <v>23</v>
      </c>
      <c r="M493" s="9" t="s">
        <v>385</v>
      </c>
      <c r="N493" s="9" t="s">
        <v>263</v>
      </c>
      <c r="O493" s="9">
        <v>14609</v>
      </c>
      <c r="P493" s="9" t="s">
        <v>144</v>
      </c>
      <c r="Q493" s="9" t="s">
        <v>1690</v>
      </c>
      <c r="R493" s="9" t="s">
        <v>42</v>
      </c>
      <c r="S493" s="9" t="s">
        <v>55</v>
      </c>
      <c r="T493" s="9" t="s">
        <v>1691</v>
      </c>
      <c r="U493" s="11">
        <v>449.15</v>
      </c>
    </row>
    <row r="494" spans="1:21" x14ac:dyDescent="0.3">
      <c r="A494" s="4">
        <v>493</v>
      </c>
      <c r="B494" s="5" t="s">
        <v>1687</v>
      </c>
      <c r="C494" s="6">
        <v>42261</v>
      </c>
      <c r="D494" s="6" t="str">
        <f t="shared" si="21"/>
        <v>Sep</v>
      </c>
      <c r="E494" s="12">
        <f t="shared" si="22"/>
        <v>2015</v>
      </c>
      <c r="F494" s="6">
        <v>42266</v>
      </c>
      <c r="G494" s="12">
        <f t="shared" si="23"/>
        <v>5</v>
      </c>
      <c r="H494" s="5" t="s">
        <v>46</v>
      </c>
      <c r="I494" s="5" t="s">
        <v>1688</v>
      </c>
      <c r="J494" s="5" t="s">
        <v>1689</v>
      </c>
      <c r="K494" s="5" t="s">
        <v>22</v>
      </c>
      <c r="L494" s="5" t="s">
        <v>23</v>
      </c>
      <c r="M494" s="5" t="s">
        <v>385</v>
      </c>
      <c r="N494" s="5" t="s">
        <v>263</v>
      </c>
      <c r="O494" s="5">
        <v>14609</v>
      </c>
      <c r="P494" s="5" t="s">
        <v>144</v>
      </c>
      <c r="Q494" s="5" t="s">
        <v>1692</v>
      </c>
      <c r="R494" s="5" t="s">
        <v>42</v>
      </c>
      <c r="S494" s="5" t="s">
        <v>169</v>
      </c>
      <c r="T494" s="5" t="s">
        <v>1693</v>
      </c>
      <c r="U494" s="7">
        <v>11.07</v>
      </c>
    </row>
    <row r="495" spans="1:21" x14ac:dyDescent="0.3">
      <c r="A495" s="8">
        <v>494</v>
      </c>
      <c r="B495" s="9" t="s">
        <v>1694</v>
      </c>
      <c r="C495" s="10">
        <v>42864</v>
      </c>
      <c r="D495" s="6" t="str">
        <f t="shared" si="21"/>
        <v>May</v>
      </c>
      <c r="E495" s="12">
        <f t="shared" si="22"/>
        <v>2017</v>
      </c>
      <c r="F495" s="10">
        <v>42869</v>
      </c>
      <c r="G495" s="12">
        <f t="shared" si="23"/>
        <v>5</v>
      </c>
      <c r="H495" s="9" t="s">
        <v>46</v>
      </c>
      <c r="I495" s="9" t="s">
        <v>1695</v>
      </c>
      <c r="J495" s="9" t="s">
        <v>1696</v>
      </c>
      <c r="K495" s="9" t="s">
        <v>22</v>
      </c>
      <c r="L495" s="9" t="s">
        <v>23</v>
      </c>
      <c r="M495" s="9" t="s">
        <v>91</v>
      </c>
      <c r="N495" s="9" t="s">
        <v>92</v>
      </c>
      <c r="O495" s="9">
        <v>98115</v>
      </c>
      <c r="P495" s="9" t="s">
        <v>40</v>
      </c>
      <c r="Q495" s="9" t="s">
        <v>1697</v>
      </c>
      <c r="R495" s="9" t="s">
        <v>67</v>
      </c>
      <c r="S495" s="9" t="s">
        <v>157</v>
      </c>
      <c r="T495" s="9" t="s">
        <v>1698</v>
      </c>
      <c r="U495" s="11">
        <v>93.98</v>
      </c>
    </row>
    <row r="496" spans="1:21" x14ac:dyDescent="0.3">
      <c r="A496" s="4">
        <v>495</v>
      </c>
      <c r="B496" s="5" t="s">
        <v>1699</v>
      </c>
      <c r="C496" s="6">
        <v>42812</v>
      </c>
      <c r="D496" s="6" t="str">
        <f t="shared" si="21"/>
        <v>Mar</v>
      </c>
      <c r="E496" s="12">
        <f t="shared" si="22"/>
        <v>2017</v>
      </c>
      <c r="F496" s="6">
        <v>42815</v>
      </c>
      <c r="G496" s="12">
        <f t="shared" si="23"/>
        <v>3</v>
      </c>
      <c r="H496" s="5" t="s">
        <v>19</v>
      </c>
      <c r="I496" s="5" t="s">
        <v>1700</v>
      </c>
      <c r="J496" s="5" t="s">
        <v>1701</v>
      </c>
      <c r="K496" s="5" t="s">
        <v>22</v>
      </c>
      <c r="L496" s="5" t="s">
        <v>23</v>
      </c>
      <c r="M496" s="5" t="s">
        <v>330</v>
      </c>
      <c r="N496" s="5" t="s">
        <v>331</v>
      </c>
      <c r="O496" s="5">
        <v>38109</v>
      </c>
      <c r="P496" s="5" t="s">
        <v>26</v>
      </c>
      <c r="Q496" s="5" t="s">
        <v>1702</v>
      </c>
      <c r="R496" s="5" t="s">
        <v>28</v>
      </c>
      <c r="S496" s="5" t="s">
        <v>52</v>
      </c>
      <c r="T496" s="5" t="s">
        <v>1703</v>
      </c>
      <c r="U496" s="7">
        <v>189.88200000000001</v>
      </c>
    </row>
    <row r="497" spans="1:21" x14ac:dyDescent="0.3">
      <c r="A497" s="8">
        <v>496</v>
      </c>
      <c r="B497" s="9" t="s">
        <v>1704</v>
      </c>
      <c r="C497" s="10">
        <v>42731</v>
      </c>
      <c r="D497" s="6" t="str">
        <f t="shared" si="21"/>
        <v>Dec</v>
      </c>
      <c r="E497" s="12">
        <f t="shared" si="22"/>
        <v>2016</v>
      </c>
      <c r="F497" s="10">
        <v>42735</v>
      </c>
      <c r="G497" s="12">
        <f t="shared" si="23"/>
        <v>4</v>
      </c>
      <c r="H497" s="9" t="s">
        <v>46</v>
      </c>
      <c r="I497" s="9" t="s">
        <v>1705</v>
      </c>
      <c r="J497" s="9" t="s">
        <v>1706</v>
      </c>
      <c r="K497" s="9" t="s">
        <v>22</v>
      </c>
      <c r="L497" s="9" t="s">
        <v>23</v>
      </c>
      <c r="M497" s="9" t="s">
        <v>1707</v>
      </c>
      <c r="N497" s="9" t="s">
        <v>1708</v>
      </c>
      <c r="O497" s="9">
        <v>72701</v>
      </c>
      <c r="P497" s="9" t="s">
        <v>26</v>
      </c>
      <c r="Q497" s="9" t="s">
        <v>1709</v>
      </c>
      <c r="R497" s="9" t="s">
        <v>42</v>
      </c>
      <c r="S497" s="9" t="s">
        <v>169</v>
      </c>
      <c r="T497" s="9" t="s">
        <v>1710</v>
      </c>
      <c r="U497" s="11">
        <v>105.42</v>
      </c>
    </row>
    <row r="498" spans="1:21" x14ac:dyDescent="0.3">
      <c r="A498" s="4">
        <v>497</v>
      </c>
      <c r="B498" s="5" t="s">
        <v>1711</v>
      </c>
      <c r="C498" s="6">
        <v>42941</v>
      </c>
      <c r="D498" s="6" t="str">
        <f t="shared" si="21"/>
        <v>Jul</v>
      </c>
      <c r="E498" s="12">
        <f t="shared" si="22"/>
        <v>2017</v>
      </c>
      <c r="F498" s="6">
        <v>42947</v>
      </c>
      <c r="G498" s="12">
        <f t="shared" si="23"/>
        <v>6</v>
      </c>
      <c r="H498" s="5" t="s">
        <v>46</v>
      </c>
      <c r="I498" s="5" t="s">
        <v>1584</v>
      </c>
      <c r="J498" s="5" t="s">
        <v>1585</v>
      </c>
      <c r="K498" s="5" t="s">
        <v>22</v>
      </c>
      <c r="L498" s="5" t="s">
        <v>23</v>
      </c>
      <c r="M498" s="5" t="s">
        <v>1712</v>
      </c>
      <c r="N498" s="5" t="s">
        <v>39</v>
      </c>
      <c r="O498" s="5">
        <v>92627</v>
      </c>
      <c r="P498" s="5" t="s">
        <v>40</v>
      </c>
      <c r="Q498" s="5" t="s">
        <v>1713</v>
      </c>
      <c r="R498" s="5" t="s">
        <v>42</v>
      </c>
      <c r="S498" s="5" t="s">
        <v>71</v>
      </c>
      <c r="T498" s="5" t="s">
        <v>1714</v>
      </c>
      <c r="U498" s="7">
        <v>119.616</v>
      </c>
    </row>
    <row r="499" spans="1:21" x14ac:dyDescent="0.3">
      <c r="A499" s="8">
        <v>498</v>
      </c>
      <c r="B499" s="9" t="s">
        <v>1711</v>
      </c>
      <c r="C499" s="10">
        <v>42941</v>
      </c>
      <c r="D499" s="6" t="str">
        <f t="shared" si="21"/>
        <v>Jul</v>
      </c>
      <c r="E499" s="12">
        <f t="shared" si="22"/>
        <v>2017</v>
      </c>
      <c r="F499" s="10">
        <v>42947</v>
      </c>
      <c r="G499" s="12">
        <f t="shared" si="23"/>
        <v>6</v>
      </c>
      <c r="H499" s="9" t="s">
        <v>46</v>
      </c>
      <c r="I499" s="9" t="s">
        <v>1584</v>
      </c>
      <c r="J499" s="9" t="s">
        <v>1585</v>
      </c>
      <c r="K499" s="9" t="s">
        <v>22</v>
      </c>
      <c r="L499" s="9" t="s">
        <v>23</v>
      </c>
      <c r="M499" s="9" t="s">
        <v>1712</v>
      </c>
      <c r="N499" s="9" t="s">
        <v>39</v>
      </c>
      <c r="O499" s="9">
        <v>92627</v>
      </c>
      <c r="P499" s="9" t="s">
        <v>40</v>
      </c>
      <c r="Q499" s="9" t="s">
        <v>1715</v>
      </c>
      <c r="R499" s="9" t="s">
        <v>28</v>
      </c>
      <c r="S499" s="9" t="s">
        <v>61</v>
      </c>
      <c r="T499" s="9" t="s">
        <v>1716</v>
      </c>
      <c r="U499" s="11">
        <v>255.76</v>
      </c>
    </row>
    <row r="500" spans="1:21" x14ac:dyDescent="0.3">
      <c r="A500" s="4">
        <v>499</v>
      </c>
      <c r="B500" s="5" t="s">
        <v>1711</v>
      </c>
      <c r="C500" s="6">
        <v>42941</v>
      </c>
      <c r="D500" s="6" t="str">
        <f t="shared" si="21"/>
        <v>Jul</v>
      </c>
      <c r="E500" s="12">
        <f t="shared" si="22"/>
        <v>2017</v>
      </c>
      <c r="F500" s="6">
        <v>42947</v>
      </c>
      <c r="G500" s="12">
        <f t="shared" si="23"/>
        <v>6</v>
      </c>
      <c r="H500" s="5" t="s">
        <v>46</v>
      </c>
      <c r="I500" s="5" t="s">
        <v>1584</v>
      </c>
      <c r="J500" s="5" t="s">
        <v>1585</v>
      </c>
      <c r="K500" s="5" t="s">
        <v>22</v>
      </c>
      <c r="L500" s="5" t="s">
        <v>23</v>
      </c>
      <c r="M500" s="5" t="s">
        <v>1712</v>
      </c>
      <c r="N500" s="5" t="s">
        <v>39</v>
      </c>
      <c r="O500" s="5">
        <v>92627</v>
      </c>
      <c r="P500" s="5" t="s">
        <v>40</v>
      </c>
      <c r="Q500" s="5" t="s">
        <v>1163</v>
      </c>
      <c r="R500" s="5" t="s">
        <v>28</v>
      </c>
      <c r="S500" s="5" t="s">
        <v>32</v>
      </c>
      <c r="T500" s="5" t="s">
        <v>1164</v>
      </c>
      <c r="U500" s="7">
        <v>241.56800000000001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PT Region</vt:lpstr>
      <vt:lpstr>PT Category</vt:lpstr>
      <vt:lpstr>PT Segment</vt:lpstr>
      <vt:lpstr>PT Monthly Trends</vt:lpstr>
      <vt:lpstr>PT ShipMode</vt:lpstr>
      <vt:lpstr>Top10 Customers</vt:lpstr>
      <vt:lpstr>Dashboard</vt:lpstr>
      <vt:lpstr>Insights</vt:lpstr>
      <vt:lpstr>SuperstoreSALES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Manasa Mirapakayala</dc:creator>
  <cp:keywords/>
  <dc:description/>
  <cp:lastModifiedBy>Manasa Mirapakayala</cp:lastModifiedBy>
  <cp:revision/>
  <dcterms:created xsi:type="dcterms:W3CDTF">2026-05-28T17:15:01Z</dcterms:created>
  <dcterms:modified xsi:type="dcterms:W3CDTF">2026-05-30T18:18:36Z</dcterms:modified>
  <cp:category/>
  <cp:contentStatus/>
</cp:coreProperties>
</file>